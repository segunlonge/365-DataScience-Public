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365 Data Science\Statistics\Section 2\13_Practical Example - Descriptive Statistics\Exercises\"/>
    </mc:Choice>
  </mc:AlternateContent>
  <xr:revisionPtr revIDLastSave="0" documentId="13_ncr:1_{F75BA558-701B-49BC-AC35-43FA1F686E31}" xr6:coauthVersionLast="47" xr6:coauthVersionMax="47" xr10:uidLastSave="{00000000-0000-0000-0000-000000000000}"/>
  <bookViews>
    <workbookView xWindow="336" yWindow="1740" windowWidth="24576" windowHeight="12996" activeTab="6" xr2:uid="{00000000-000D-0000-FFFF-FFFF00000000}"/>
  </bookViews>
  <sheets>
    <sheet name="365RE" sheetId="1" r:id="rId1"/>
    <sheet name="Task 1" sheetId="7" r:id="rId2"/>
    <sheet name="Tasks 2,3,4" sheetId="8" r:id="rId3"/>
    <sheet name="Task 5" sheetId="9" r:id="rId4"/>
    <sheet name="Tasks 6,7" sheetId="10" r:id="rId5"/>
    <sheet name="Tasks 8,9" sheetId="5" r:id="rId6"/>
    <sheet name="Task 10" sheetId="6" r:id="rId7"/>
  </sheets>
  <definedNames>
    <definedName name="_xlnm._FilterDatabase" localSheetId="0" hidden="1">'365RE'!$A$5:$J$272</definedName>
    <definedName name="_xlchart.v1.0" hidden="1">'365RE'!$I$5</definedName>
    <definedName name="_xlchart.v1.1" hidden="1">'365RE'!$I$6:$I$272</definedName>
    <definedName name="_xlchart.v1.2" hidden="1">'365RE'!$I$5</definedName>
    <definedName name="_xlchart.v1.3" hidden="1">'365RE'!$I$6:$I$272</definedName>
  </definedNames>
  <calcPr calcId="191029"/>
  <fileRecoveryPr autoRecover="0"/>
</workbook>
</file>

<file path=xl/calcChain.xml><?xml version="1.0" encoding="utf-8"?>
<calcChain xmlns="http://schemas.openxmlformats.org/spreadsheetml/2006/main">
  <c r="E10" i="10" l="1"/>
  <c r="D11" i="10"/>
  <c r="D12" i="10"/>
  <c r="D13" i="10"/>
  <c r="D14" i="10"/>
  <c r="D15" i="10"/>
  <c r="D16" i="10"/>
  <c r="D17" i="10"/>
  <c r="D10" i="10"/>
  <c r="C7" i="6" l="1"/>
  <c r="C6" i="6"/>
  <c r="D10" i="5"/>
  <c r="D12" i="5"/>
  <c r="D11" i="5"/>
  <c r="D9" i="5"/>
  <c r="D8" i="5"/>
  <c r="D7" i="5"/>
  <c r="D18" i="10" l="1"/>
  <c r="P7" i="1"/>
  <c r="P8" i="1"/>
  <c r="P16" i="1"/>
  <c r="P17" i="1"/>
  <c r="P18" i="1"/>
  <c r="P19" i="1"/>
  <c r="P51" i="1"/>
  <c r="P50" i="1"/>
  <c r="P49" i="1"/>
  <c r="P84" i="1"/>
  <c r="P89" i="1"/>
  <c r="P134" i="1"/>
  <c r="P133" i="1"/>
  <c r="P132" i="1"/>
  <c r="P143" i="1"/>
  <c r="P142" i="1"/>
  <c r="P141" i="1"/>
  <c r="P140" i="1"/>
  <c r="P139" i="1"/>
  <c r="P138" i="1"/>
  <c r="P151" i="1"/>
  <c r="P150" i="1"/>
  <c r="P171" i="1"/>
  <c r="P166" i="1"/>
  <c r="P161" i="1"/>
  <c r="P128" i="1"/>
  <c r="P78" i="1"/>
  <c r="P59" i="1"/>
  <c r="P55" i="1"/>
  <c r="P47" i="1"/>
  <c r="P39" i="1"/>
  <c r="P33" i="1"/>
  <c r="P30" i="1"/>
  <c r="P14" i="1"/>
  <c r="P10" i="1"/>
  <c r="E13" i="10" l="1"/>
  <c r="F10" i="10"/>
  <c r="E14" i="10"/>
  <c r="E11" i="10"/>
  <c r="E12" i="10"/>
  <c r="E17" i="10"/>
  <c r="E16" i="10"/>
  <c r="E15" i="10"/>
  <c r="Q161" i="1"/>
  <c r="P159" i="1"/>
  <c r="P170" i="1"/>
  <c r="P180" i="1"/>
  <c r="E18" i="10" l="1"/>
  <c r="P6" i="1"/>
  <c r="G209" i="1" l="1"/>
  <c r="G224" i="1"/>
  <c r="G226" i="1"/>
  <c r="G229" i="1"/>
  <c r="G232" i="1"/>
  <c r="G208" i="1"/>
  <c r="G214" i="1"/>
  <c r="G215" i="1"/>
  <c r="G212" i="1"/>
  <c r="G207" i="1"/>
  <c r="G218" i="1"/>
  <c r="G219" i="1"/>
  <c r="G240" i="1"/>
  <c r="G216" i="1"/>
  <c r="G247" i="1"/>
  <c r="G252" i="1"/>
  <c r="G257" i="1"/>
  <c r="G259" i="1"/>
  <c r="G261" i="1"/>
  <c r="G265" i="1"/>
  <c r="G268" i="1"/>
  <c r="G213" i="1"/>
  <c r="G235" i="1"/>
  <c r="G271" i="1"/>
  <c r="G239" i="1"/>
  <c r="G237" i="1"/>
  <c r="G251" i="1"/>
  <c r="G256" i="1"/>
  <c r="G263" i="1"/>
  <c r="G260" i="1"/>
  <c r="G270" i="1"/>
  <c r="G217" i="1"/>
  <c r="G205" i="1"/>
  <c r="G254" i="1"/>
  <c r="G249" i="1"/>
  <c r="G250" i="1"/>
  <c r="G253" i="1"/>
  <c r="G255" i="1"/>
  <c r="G262" i="1"/>
  <c r="G266" i="1"/>
  <c r="G269" i="1"/>
  <c r="G231" i="1"/>
  <c r="G228" i="1"/>
  <c r="G234" i="1"/>
  <c r="G238" i="1"/>
  <c r="G272" i="1"/>
  <c r="G222" i="1"/>
  <c r="G225" i="1"/>
  <c r="G227" i="1"/>
  <c r="G230" i="1"/>
  <c r="G233" i="1"/>
  <c r="G236" i="1"/>
  <c r="G210" i="1"/>
  <c r="G220" i="1"/>
  <c r="G223" i="1"/>
  <c r="G206" i="1"/>
  <c r="G258" i="1"/>
  <c r="G264" i="1"/>
  <c r="G267" i="1"/>
  <c r="G184" i="1"/>
  <c r="P184" i="1" l="1"/>
  <c r="B143" i="1" l="1"/>
  <c r="B55" i="1"/>
  <c r="B185" i="1"/>
  <c r="B133" i="1"/>
  <c r="B189" i="1"/>
  <c r="B190" i="1"/>
  <c r="B188" i="1"/>
  <c r="B50" i="1"/>
  <c r="B193" i="1"/>
  <c r="B194" i="1"/>
  <c r="B159" i="1"/>
  <c r="B171" i="1"/>
  <c r="B83" i="1"/>
  <c r="B39" i="1"/>
  <c r="B195" i="1"/>
  <c r="B196" i="1"/>
  <c r="B132" i="1"/>
  <c r="B197" i="1"/>
  <c r="B180" i="1"/>
  <c r="B166" i="1"/>
  <c r="B33" i="1"/>
  <c r="B30" i="1"/>
  <c r="B140" i="1"/>
  <c r="B198" i="1"/>
  <c r="B7" i="1"/>
  <c r="B6" i="1"/>
  <c r="B14" i="1"/>
  <c r="B47" i="1"/>
  <c r="B170" i="1"/>
  <c r="B199" i="1"/>
  <c r="B59" i="1"/>
  <c r="B16" i="1"/>
  <c r="B200" i="1"/>
  <c r="B89" i="1"/>
  <c r="B84" i="1"/>
  <c r="B128" i="1"/>
  <c r="B49" i="1"/>
  <c r="B201" i="1"/>
  <c r="B138" i="1"/>
  <c r="B139" i="1"/>
  <c r="B78" i="1"/>
  <c r="B17" i="1"/>
  <c r="B21" i="1"/>
  <c r="B10" i="1"/>
  <c r="B192" i="1"/>
  <c r="B8" i="1"/>
  <c r="B120" i="1"/>
  <c r="B27" i="1"/>
  <c r="B70" i="1"/>
  <c r="B28" i="1"/>
  <c r="B23" i="1"/>
  <c r="B148" i="1"/>
  <c r="B56" i="1"/>
  <c r="B71" i="1"/>
  <c r="B105" i="1"/>
  <c r="B74" i="1"/>
  <c r="B167" i="1"/>
  <c r="B91" i="1"/>
  <c r="B150" i="1"/>
  <c r="B94" i="1"/>
  <c r="B60" i="1"/>
  <c r="B114" i="1"/>
  <c r="B152" i="1"/>
  <c r="B90" i="1"/>
  <c r="B153" i="1"/>
  <c r="B72" i="1"/>
  <c r="B141" i="1"/>
  <c r="B103" i="1"/>
  <c r="B64" i="1"/>
  <c r="B101" i="1"/>
  <c r="B154" i="1"/>
  <c r="B106" i="1"/>
  <c r="B117" i="1"/>
  <c r="B144" i="1"/>
  <c r="B9" i="1"/>
  <c r="B113" i="1"/>
  <c r="B151" i="1"/>
  <c r="B134" i="1"/>
  <c r="B115" i="1"/>
  <c r="B19" i="1"/>
  <c r="B162" i="1"/>
  <c r="B191" i="1"/>
  <c r="B147" i="1"/>
  <c r="B79" i="1"/>
  <c r="B44" i="1"/>
  <c r="B80" i="1"/>
  <c r="B36" i="1"/>
  <c r="B41" i="1"/>
  <c r="B66" i="1"/>
  <c r="B73" i="1"/>
  <c r="B81" i="1"/>
  <c r="B85" i="1"/>
  <c r="B40" i="1"/>
  <c r="B63" i="1"/>
  <c r="B155" i="1"/>
  <c r="B31" i="1"/>
  <c r="B20" i="1"/>
  <c r="B124" i="1"/>
  <c r="B92" i="1"/>
  <c r="B174" i="1"/>
  <c r="B104" i="1"/>
  <c r="B175" i="1"/>
  <c r="B172" i="1"/>
  <c r="B156" i="1"/>
  <c r="B118" i="1"/>
  <c r="B178" i="1"/>
  <c r="B181" i="1"/>
  <c r="B168" i="1"/>
  <c r="B11" i="1"/>
  <c r="B176" i="1"/>
  <c r="B127" i="1"/>
  <c r="B62" i="1"/>
  <c r="B26" i="1"/>
  <c r="B38" i="1"/>
  <c r="B77" i="1"/>
  <c r="B169" i="1"/>
  <c r="B149" i="1"/>
  <c r="B24" i="1"/>
  <c r="B135" i="1"/>
  <c r="B102" i="1"/>
  <c r="B13" i="1"/>
  <c r="B183" i="1"/>
  <c r="B12" i="1"/>
  <c r="B34" i="1"/>
  <c r="B107" i="1"/>
  <c r="B25" i="1"/>
  <c r="B119" i="1"/>
  <c r="B35" i="1"/>
  <c r="B126" i="1"/>
  <c r="B32" i="1"/>
  <c r="B37" i="1"/>
  <c r="B111" i="1"/>
  <c r="B108" i="1"/>
  <c r="B112" i="1"/>
  <c r="B75" i="1"/>
  <c r="B42" i="1"/>
  <c r="B179" i="1"/>
  <c r="B123" i="1"/>
  <c r="B88" i="1"/>
  <c r="B93" i="1"/>
  <c r="B157" i="1"/>
  <c r="B48" i="1"/>
  <c r="B65" i="1"/>
  <c r="B177" i="1"/>
  <c r="B82" i="1"/>
  <c r="B145" i="1"/>
  <c r="B182" i="1"/>
  <c r="B43" i="1"/>
  <c r="B86" i="1"/>
  <c r="B87" i="1"/>
  <c r="B97" i="1"/>
  <c r="B46" i="1"/>
  <c r="B52" i="1"/>
  <c r="B109" i="1"/>
  <c r="B110" i="1"/>
  <c r="B58" i="1"/>
  <c r="B54" i="1"/>
  <c r="B164" i="1"/>
  <c r="B69" i="1"/>
  <c r="B130" i="1"/>
  <c r="B96" i="1"/>
  <c r="B15" i="1"/>
  <c r="B57" i="1"/>
  <c r="B158" i="1"/>
  <c r="B125" i="1"/>
  <c r="B131" i="1"/>
  <c r="B76" i="1"/>
  <c r="B129" i="1"/>
  <c r="B98" i="1"/>
  <c r="B18" i="1"/>
  <c r="B165" i="1"/>
  <c r="B68" i="1"/>
  <c r="B95" i="1"/>
  <c r="B61" i="1"/>
  <c r="B29" i="1"/>
  <c r="B67" i="1"/>
  <c r="B173" i="1"/>
  <c r="B136" i="1"/>
  <c r="B137" i="1"/>
  <c r="B116" i="1"/>
  <c r="B99" i="1"/>
  <c r="B100" i="1"/>
  <c r="B122" i="1"/>
  <c r="B51" i="1"/>
  <c r="B163" i="1"/>
  <c r="B45" i="1"/>
  <c r="B161" i="1"/>
  <c r="B121" i="1"/>
  <c r="B53" i="1"/>
  <c r="B160" i="1"/>
  <c r="B142" i="1"/>
  <c r="B146" i="1"/>
  <c r="B22" i="1"/>
  <c r="Q150" i="1" l="1"/>
  <c r="P96" i="1"/>
  <c r="Q96" i="1" s="1"/>
  <c r="P53" i="1"/>
  <c r="Q53" i="1" s="1"/>
  <c r="P36" i="1"/>
  <c r="Q36" i="1" s="1"/>
  <c r="P79" i="1"/>
  <c r="Q79" i="1" s="1"/>
  <c r="P99" i="1"/>
  <c r="Q99" i="1" s="1"/>
  <c r="P118" i="1"/>
  <c r="Q118" i="1" s="1"/>
  <c r="P28" i="1"/>
  <c r="Q28" i="1" s="1"/>
  <c r="P81" i="1"/>
  <c r="Q81" i="1" s="1"/>
  <c r="P125" i="1"/>
  <c r="Q125" i="1" s="1"/>
  <c r="Q33" i="1"/>
  <c r="P181" i="1"/>
  <c r="Q181" i="1" s="1"/>
  <c r="P85" i="1"/>
  <c r="Q85" i="1" s="1"/>
  <c r="Q6" i="1"/>
  <c r="P22" i="1"/>
  <c r="Q22" i="1" s="1"/>
  <c r="P156" i="1"/>
  <c r="Q156" i="1" s="1"/>
  <c r="P136" i="1"/>
  <c r="Q136" i="1" s="1"/>
  <c r="P149" i="1"/>
  <c r="Q149" i="1" s="1"/>
  <c r="P152" i="1"/>
  <c r="Q152" i="1" s="1"/>
  <c r="P179" i="1"/>
  <c r="Q179" i="1" s="1"/>
  <c r="P109" i="1"/>
  <c r="Q109" i="1" s="1"/>
  <c r="P113" i="1"/>
  <c r="Q113" i="1" s="1"/>
  <c r="P44" i="1"/>
  <c r="Q44" i="1" s="1"/>
  <c r="P92" i="1"/>
  <c r="Q92" i="1" s="1"/>
  <c r="P165" i="1"/>
  <c r="Q165" i="1" s="1"/>
  <c r="P75" i="1"/>
  <c r="Q75" i="1" s="1"/>
  <c r="Q133" i="1"/>
  <c r="P178" i="1"/>
  <c r="Q178" i="1" s="1"/>
  <c r="P63" i="1"/>
  <c r="Q63" i="1" s="1"/>
  <c r="P54" i="1"/>
  <c r="Q54" i="1" s="1"/>
  <c r="P137" i="1"/>
  <c r="Q137" i="1" s="1"/>
  <c r="P20" i="1"/>
  <c r="Q20" i="1" s="1"/>
  <c r="P160" i="1"/>
  <c r="Q160" i="1" s="1"/>
  <c r="P163" i="1"/>
  <c r="Q163" i="1" s="1"/>
  <c r="Q151" i="1"/>
  <c r="P83" i="1"/>
  <c r="Q83" i="1" s="1"/>
  <c r="P66" i="1"/>
  <c r="Q66" i="1" s="1"/>
  <c r="P38" i="1"/>
  <c r="Q38" i="1" s="1"/>
  <c r="P77" i="1"/>
  <c r="Q77" i="1" s="1"/>
  <c r="P129" i="1"/>
  <c r="Q129" i="1" s="1"/>
  <c r="P174" i="1"/>
  <c r="Q174" i="1" s="1"/>
  <c r="P124" i="1"/>
  <c r="Q124" i="1" s="1"/>
  <c r="P103" i="1"/>
  <c r="Q103" i="1" s="1"/>
  <c r="P135" i="1"/>
  <c r="Q135" i="1" s="1"/>
  <c r="P27" i="1"/>
  <c r="Q27" i="1" s="1"/>
  <c r="P177" i="1"/>
  <c r="Q177" i="1" s="1"/>
  <c r="Q7" i="1"/>
  <c r="P98" i="1"/>
  <c r="Q98" i="1" s="1"/>
  <c r="P21" i="1"/>
  <c r="Q21" i="1" s="1"/>
  <c r="P56" i="1"/>
  <c r="Q56" i="1" s="1"/>
  <c r="Q134" i="1"/>
  <c r="P88" i="1"/>
  <c r="Q88" i="1" s="1"/>
  <c r="P127" i="1"/>
  <c r="Q127" i="1" s="1"/>
  <c r="P145" i="1"/>
  <c r="Q145" i="1" s="1"/>
  <c r="P35" i="1"/>
  <c r="Q35" i="1" s="1"/>
  <c r="P62" i="1"/>
  <c r="Q62" i="1" s="1"/>
  <c r="P68" i="1"/>
  <c r="Q68" i="1" s="1"/>
  <c r="Q17" i="1"/>
  <c r="P115" i="1"/>
  <c r="Q115" i="1" s="1"/>
  <c r="Q138" i="1"/>
  <c r="P144" i="1"/>
  <c r="Q144" i="1" s="1"/>
  <c r="P29" i="1"/>
  <c r="Q29" i="1" s="1"/>
  <c r="P147" i="1"/>
  <c r="Q147" i="1" s="1"/>
  <c r="P48" i="1"/>
  <c r="Q48" i="1" s="1"/>
  <c r="P104" i="1"/>
  <c r="Q104" i="1" s="1"/>
  <c r="P9" i="1"/>
  <c r="Q9" i="1" s="1"/>
  <c r="P52" i="1"/>
  <c r="Q52" i="1" s="1"/>
  <c r="P154" i="1"/>
  <c r="Q154" i="1" s="1"/>
  <c r="Q10" i="1"/>
  <c r="P114" i="1"/>
  <c r="Q114" i="1" s="1"/>
  <c r="P107" i="1"/>
  <c r="Q107" i="1" s="1"/>
  <c r="Q141" i="1"/>
  <c r="P67" i="1"/>
  <c r="Q67" i="1" s="1"/>
  <c r="P60" i="1"/>
  <c r="Q60" i="1" s="1"/>
  <c r="P23" i="1"/>
  <c r="Q23" i="1" s="1"/>
  <c r="P122" i="1"/>
  <c r="Q122" i="1" s="1"/>
  <c r="P126" i="1"/>
  <c r="Q126" i="1" s="1"/>
  <c r="P41" i="1"/>
  <c r="Q41" i="1" s="1"/>
  <c r="P34" i="1"/>
  <c r="Q34" i="1" s="1"/>
  <c r="Q84" i="1"/>
  <c r="Q55" i="1"/>
  <c r="P46" i="1"/>
  <c r="Q46" i="1" s="1"/>
  <c r="P164" i="1"/>
  <c r="Q164" i="1" s="1"/>
  <c r="Q78" i="1"/>
  <c r="Q128" i="1"/>
  <c r="P13" i="1"/>
  <c r="Q13" i="1" s="1"/>
  <c r="P31" i="1"/>
  <c r="Q31" i="1" s="1"/>
  <c r="P108" i="1"/>
  <c r="Q108" i="1" s="1"/>
  <c r="P90" i="1"/>
  <c r="Q90" i="1" s="1"/>
  <c r="P93" i="1"/>
  <c r="Q93" i="1" s="1"/>
  <c r="P65" i="1"/>
  <c r="Q65" i="1" s="1"/>
  <c r="P176" i="1"/>
  <c r="Q176" i="1" s="1"/>
  <c r="Q47" i="1"/>
  <c r="P158" i="1"/>
  <c r="Q158" i="1" s="1"/>
  <c r="P32" i="1"/>
  <c r="Q32" i="1" s="1"/>
  <c r="Q170" i="1"/>
  <c r="P69" i="1"/>
  <c r="Q69" i="1" s="1"/>
  <c r="Q19" i="1"/>
  <c r="P172" i="1"/>
  <c r="Q172" i="1" s="1"/>
  <c r="Q140" i="1"/>
  <c r="P70" i="1"/>
  <c r="Q70" i="1" s="1"/>
  <c r="Q50" i="1"/>
  <c r="P130" i="1"/>
  <c r="Q130" i="1" s="1"/>
  <c r="Q59" i="1"/>
  <c r="Q139" i="1"/>
  <c r="P95" i="1"/>
  <c r="Q95" i="1" s="1"/>
  <c r="P97" i="1"/>
  <c r="Q97" i="1" s="1"/>
  <c r="P123" i="1"/>
  <c r="Q123" i="1" s="1"/>
  <c r="Q166" i="1"/>
  <c r="P91" i="1"/>
  <c r="Q91" i="1" s="1"/>
  <c r="Q171" i="1"/>
  <c r="P76" i="1"/>
  <c r="Q76" i="1" s="1"/>
  <c r="Q51" i="1"/>
  <c r="P169" i="1"/>
  <c r="Q169" i="1" s="1"/>
  <c r="P175" i="1"/>
  <c r="Q175" i="1" s="1"/>
  <c r="Q89" i="1"/>
  <c r="P120" i="1"/>
  <c r="Q120" i="1" s="1"/>
  <c r="P64" i="1"/>
  <c r="Q64" i="1" s="1"/>
  <c r="P116" i="1"/>
  <c r="Q116" i="1" s="1"/>
  <c r="P173" i="1"/>
  <c r="Q173" i="1" s="1"/>
  <c r="P168" i="1"/>
  <c r="Q168" i="1" s="1"/>
  <c r="Q49" i="1"/>
  <c r="Q39" i="1"/>
  <c r="P80" i="1"/>
  <c r="Q80" i="1" s="1"/>
  <c r="P106" i="1"/>
  <c r="Q106" i="1" s="1"/>
  <c r="P11" i="1"/>
  <c r="Q11" i="1" s="1"/>
  <c r="P87" i="1"/>
  <c r="Q87" i="1" s="1"/>
  <c r="P148" i="1"/>
  <c r="Q148" i="1" s="1"/>
  <c r="P105" i="1"/>
  <c r="Q105" i="1" s="1"/>
  <c r="P183" i="1"/>
  <c r="Q183" i="1" s="1"/>
  <c r="P82" i="1"/>
  <c r="Q82" i="1" s="1"/>
  <c r="P167" i="1"/>
  <c r="Q167" i="1" s="1"/>
  <c r="P26" i="1"/>
  <c r="Q26" i="1" s="1"/>
  <c r="P86" i="1"/>
  <c r="Q86" i="1" s="1"/>
  <c r="P73" i="1"/>
  <c r="Q73" i="1" s="1"/>
  <c r="P24" i="1"/>
  <c r="Q24" i="1" s="1"/>
  <c r="Q16" i="1"/>
  <c r="P25" i="1"/>
  <c r="Q25" i="1" s="1"/>
  <c r="P155" i="1"/>
  <c r="Q155" i="1" s="1"/>
  <c r="Q180" i="1"/>
  <c r="P101" i="1"/>
  <c r="Q101" i="1" s="1"/>
  <c r="P12" i="1"/>
  <c r="Q12" i="1" s="1"/>
  <c r="P121" i="1"/>
  <c r="Q121" i="1" s="1"/>
  <c r="Q30" i="1"/>
  <c r="P100" i="1"/>
  <c r="Q100" i="1" s="1"/>
  <c r="P57" i="1"/>
  <c r="Q57" i="1" s="1"/>
  <c r="Q159" i="1"/>
  <c r="P110" i="1"/>
  <c r="Q110" i="1" s="1"/>
  <c r="P15" i="1"/>
  <c r="Q15" i="1" s="1"/>
  <c r="P94" i="1"/>
  <c r="Q94" i="1" s="1"/>
  <c r="P72" i="1"/>
  <c r="Q72" i="1" s="1"/>
  <c r="Q14" i="1"/>
  <c r="P112" i="1"/>
  <c r="Q112" i="1" s="1"/>
  <c r="P131" i="1"/>
  <c r="Q131" i="1" s="1"/>
  <c r="P182" i="1"/>
  <c r="Q182" i="1" s="1"/>
  <c r="P146" i="1"/>
  <c r="Q146" i="1" s="1"/>
  <c r="Q142" i="1"/>
  <c r="P162" i="1"/>
  <c r="Q162" i="1" s="1"/>
  <c r="P119" i="1"/>
  <c r="Q119" i="1" s="1"/>
  <c r="Q18" i="1"/>
  <c r="P117" i="1"/>
  <c r="Q117" i="1" s="1"/>
  <c r="P157" i="1"/>
  <c r="Q157" i="1" s="1"/>
  <c r="P102" i="1"/>
  <c r="Q102" i="1" s="1"/>
  <c r="P111" i="1"/>
  <c r="Q111" i="1" s="1"/>
  <c r="P58" i="1"/>
  <c r="Q58" i="1" s="1"/>
  <c r="Q132" i="1"/>
  <c r="P61" i="1"/>
  <c r="Q61" i="1" s="1"/>
  <c r="P153" i="1"/>
  <c r="Q153" i="1" s="1"/>
  <c r="P71" i="1"/>
  <c r="Q71" i="1" s="1"/>
  <c r="P43" i="1"/>
  <c r="Q43" i="1" s="1"/>
  <c r="P74" i="1"/>
  <c r="Q74" i="1" s="1"/>
  <c r="P45" i="1"/>
  <c r="Q45" i="1" s="1"/>
  <c r="P40" i="1"/>
  <c r="Q40" i="1" s="1"/>
  <c r="P42" i="1"/>
  <c r="Q42" i="1" s="1"/>
  <c r="Q8" i="1"/>
  <c r="P37" i="1"/>
  <c r="Q37" i="1" s="1"/>
  <c r="Q143" i="1" l="1"/>
  <c r="F11" i="10"/>
  <c r="F12" i="10" s="1"/>
  <c r="F13" i="10" s="1"/>
  <c r="F14" i="10" s="1"/>
  <c r="F15" i="10" s="1"/>
  <c r="F16" i="10" s="1"/>
  <c r="F17" i="10" s="1"/>
</calcChain>
</file>

<file path=xl/sharedStrings.xml><?xml version="1.0" encoding="utf-8"?>
<sst xmlns="http://schemas.openxmlformats.org/spreadsheetml/2006/main" count="2558" uniqueCount="585">
  <si>
    <t>Office</t>
  </si>
  <si>
    <t>Apartment</t>
  </si>
  <si>
    <t>Area (ft.)</t>
  </si>
  <si>
    <t>Status</t>
  </si>
  <si>
    <t>Sold</t>
  </si>
  <si>
    <t>USA</t>
  </si>
  <si>
    <t>Russia</t>
  </si>
  <si>
    <t>Belgium</t>
  </si>
  <si>
    <t>Denmark</t>
  </si>
  <si>
    <t>UK</t>
  </si>
  <si>
    <t>Germany</t>
  </si>
  <si>
    <t>Mexico</t>
  </si>
  <si>
    <t>State</t>
  </si>
  <si>
    <t>California</t>
  </si>
  <si>
    <t>Nevada</t>
  </si>
  <si>
    <t>Arizona</t>
  </si>
  <si>
    <t>Virginia</t>
  </si>
  <si>
    <t>Utah</t>
  </si>
  <si>
    <t>Oregon</t>
  </si>
  <si>
    <t>Colorado</t>
  </si>
  <si>
    <t>Wyoming</t>
  </si>
  <si>
    <t>Kansas</t>
  </si>
  <si>
    <t>Name</t>
  </si>
  <si>
    <t>Surname</t>
  </si>
  <si>
    <t>Gender</t>
  </si>
  <si>
    <t>Country</t>
  </si>
  <si>
    <t>Year of sale</t>
  </si>
  <si>
    <t>Month of sale</t>
  </si>
  <si>
    <t>Customer ID</t>
  </si>
  <si>
    <t>C0002</t>
  </si>
  <si>
    <t>C0003</t>
  </si>
  <si>
    <t>C0004</t>
  </si>
  <si>
    <t>C0005</t>
  </si>
  <si>
    <t>Home</t>
  </si>
  <si>
    <t>Investment</t>
  </si>
  <si>
    <t>No</t>
  </si>
  <si>
    <t>Yes</t>
  </si>
  <si>
    <t>Mortgage</t>
  </si>
  <si>
    <t>Source</t>
  </si>
  <si>
    <t>Agency</t>
  </si>
  <si>
    <t>Purpose</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</si>
  <si>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</si>
  <si>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</si>
  <si>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</si>
  <si>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</si>
  <si>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</si>
  <si>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</si>
  <si>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</si>
  <si>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</si>
  <si>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</si>
  <si>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</si>
  <si>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</si>
  <si>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</si>
  <si>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</si>
  <si>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</si>
  <si>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</si>
  <si>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</si>
  <si>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</si>
  <si>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</si>
  <si>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</si>
  <si>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</si>
  <si>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C0027</t>
  </si>
  <si>
    <t>C0028</t>
  </si>
  <si>
    <t>C0029</t>
  </si>
  <si>
    <t>C0030</t>
  </si>
  <si>
    <t>C0031</t>
  </si>
  <si>
    <t>C0032</t>
  </si>
  <si>
    <t>C0033</t>
  </si>
  <si>
    <t>C0034</t>
  </si>
  <si>
    <t>C0035</t>
  </si>
  <si>
    <t>C0036</t>
  </si>
  <si>
    <t>C0037</t>
  </si>
  <si>
    <t>C0038</t>
  </si>
  <si>
    <t>C0039</t>
  </si>
  <si>
    <t>C0040</t>
  </si>
  <si>
    <t>C0041</t>
  </si>
  <si>
    <t>C0042</t>
  </si>
  <si>
    <t>C0043</t>
  </si>
  <si>
    <t>C0044</t>
  </si>
  <si>
    <t>C0045</t>
  </si>
  <si>
    <t>C0047</t>
  </si>
  <si>
    <t>C0048</t>
  </si>
  <si>
    <t>C0049</t>
  </si>
  <si>
    <t>C0051</t>
  </si>
  <si>
    <t>C0052</t>
  </si>
  <si>
    <t>C0053</t>
  </si>
  <si>
    <t>C0054</t>
  </si>
  <si>
    <t>C0055</t>
  </si>
  <si>
    <t>C0056</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</si>
  <si>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</si>
  <si>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</si>
  <si>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</si>
  <si>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</si>
  <si>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</si>
  <si>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</si>
  <si>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</si>
  <si>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</si>
  <si>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</si>
  <si>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</si>
  <si>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</si>
  <si>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</si>
  <si>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</si>
  <si>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</si>
  <si>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</si>
  <si>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</si>
  <si>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</si>
  <si>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</si>
  <si>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</si>
  <si>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</si>
  <si>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</si>
  <si>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</si>
  <si>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</si>
  <si>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</si>
  <si>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</si>
  <si>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</si>
  <si>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</si>
  <si>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C0089</t>
  </si>
  <si>
    <t>C0090</t>
  </si>
  <si>
    <t>C0091</t>
  </si>
  <si>
    <t>C0093</t>
  </si>
  <si>
    <t>C0095</t>
  </si>
  <si>
    <t>C0096</t>
  </si>
  <si>
    <t>C0098</t>
  </si>
  <si>
    <t>C0099</t>
  </si>
  <si>
    <t>C0101</t>
  </si>
  <si>
    <t>C0103</t>
  </si>
  <si>
    <t>C0104</t>
  </si>
  <si>
    <t>C0106</t>
  </si>
  <si>
    <t>C0107</t>
  </si>
  <si>
    <t>C0108</t>
  </si>
  <si>
    <t>C0109</t>
  </si>
  <si>
    <t>C0111</t>
  </si>
  <si>
    <t>C0112</t>
  </si>
  <si>
    <t>C0113</t>
  </si>
  <si>
    <t>C0114</t>
  </si>
  <si>
    <t>C0115</t>
  </si>
  <si>
    <t>C0118</t>
  </si>
  <si>
    <t>C0119</t>
  </si>
  <si>
    <t>C0120</t>
  </si>
  <si>
    <t>C0122</t>
  </si>
  <si>
    <t>C0123</t>
  </si>
  <si>
    <t>C0124</t>
  </si>
  <si>
    <t>C0125</t>
  </si>
  <si>
    <t>C0127</t>
  </si>
  <si>
    <t>C0128</t>
  </si>
  <si>
    <t>C0129</t>
  </si>
  <si>
    <t>C0131</t>
  </si>
  <si>
    <t>C0132</t>
  </si>
  <si>
    <t>C0134</t>
  </si>
  <si>
    <t>C0135</t>
  </si>
  <si>
    <t>C0136</t>
  </si>
  <si>
    <t>C0137</t>
  </si>
  <si>
    <t>C0141</t>
  </si>
  <si>
    <t>C0142</t>
  </si>
  <si>
    <t>C0144</t>
  </si>
  <si>
    <t>C0147</t>
  </si>
  <si>
    <t>C0149</t>
  </si>
  <si>
    <t>C0151</t>
  </si>
  <si>
    <t>C0153</t>
  </si>
  <si>
    <t>C0155</t>
  </si>
  <si>
    <t>C0156</t>
  </si>
  <si>
    <t>C0158</t>
  </si>
  <si>
    <t>C0159</t>
  </si>
  <si>
    <t>C0160</t>
  </si>
  <si>
    <t>C0162</t>
  </si>
  <si>
    <t>C0163</t>
  </si>
  <si>
    <t>C0164</t>
  </si>
  <si>
    <t>C0165</t>
  </si>
  <si>
    <t>C0166</t>
  </si>
  <si>
    <t>C0168</t>
  </si>
  <si>
    <t>C0169</t>
  </si>
  <si>
    <t>C0171</t>
  </si>
  <si>
    <t>C0172</t>
  </si>
  <si>
    <t>C0174</t>
  </si>
  <si>
    <t>Y</t>
  </si>
  <si>
    <t>M</t>
  </si>
  <si>
    <t>D</t>
  </si>
  <si>
    <t>F</t>
  </si>
  <si>
    <t>ID</t>
  </si>
  <si>
    <t>Individual</t>
  </si>
  <si>
    <t>Firm</t>
  </si>
  <si>
    <t>Practical example</t>
  </si>
  <si>
    <t>Client</t>
  </si>
  <si>
    <t>Avah</t>
  </si>
  <si>
    <t>Huang</t>
  </si>
  <si>
    <t>Ramirez</t>
  </si>
  <si>
    <t>Rodolfo</t>
  </si>
  <si>
    <t>Gibson</t>
  </si>
  <si>
    <t>Arthur</t>
  </si>
  <si>
    <t>Bray</t>
  </si>
  <si>
    <t>Davion</t>
  </si>
  <si>
    <t>Stout</t>
  </si>
  <si>
    <t>Laci</t>
  </si>
  <si>
    <t>Guerra</t>
  </si>
  <si>
    <t>Franklin</t>
  </si>
  <si>
    <t>Mack</t>
  </si>
  <si>
    <t>Harley</t>
  </si>
  <si>
    <t>Lucero</t>
  </si>
  <si>
    <t>Jaelyn</t>
  </si>
  <si>
    <t>Berger</t>
  </si>
  <si>
    <t>Nora</t>
  </si>
  <si>
    <t>Lynch</t>
  </si>
  <si>
    <t>Trystan</t>
  </si>
  <si>
    <t>Oconnor</t>
  </si>
  <si>
    <t>Victor</t>
  </si>
  <si>
    <t>Jensen</t>
  </si>
  <si>
    <t>Grant</t>
  </si>
  <si>
    <t>Weber</t>
  </si>
  <si>
    <t>Kaylin</t>
  </si>
  <si>
    <t>Villarreal</t>
  </si>
  <si>
    <t>Cedric</t>
  </si>
  <si>
    <t>Goodwin</t>
  </si>
  <si>
    <t>Alessandra</t>
  </si>
  <si>
    <t>Perry</t>
  </si>
  <si>
    <t>Abdiel</t>
  </si>
  <si>
    <t>Memphis</t>
  </si>
  <si>
    <t>Mcconnell</t>
  </si>
  <si>
    <t>Lauryn</t>
  </si>
  <si>
    <t>Patrick</t>
  </si>
  <si>
    <t>Laurel</t>
  </si>
  <si>
    <t>Benitez</t>
  </si>
  <si>
    <t>Lara</t>
  </si>
  <si>
    <t>Carrillo</t>
  </si>
  <si>
    <t>Arabella</t>
  </si>
  <si>
    <t>Ferrell</t>
  </si>
  <si>
    <t>Madalyn</t>
  </si>
  <si>
    <t>Mercer</t>
  </si>
  <si>
    <t>Kenyon</t>
  </si>
  <si>
    <t>Zain</t>
  </si>
  <si>
    <t>Horne</t>
  </si>
  <si>
    <t>Aiyana</t>
  </si>
  <si>
    <t>Christensen</t>
  </si>
  <si>
    <t>Irvin</t>
  </si>
  <si>
    <t>Ellis</t>
  </si>
  <si>
    <t>Olivia</t>
  </si>
  <si>
    <t>Oconnell</t>
  </si>
  <si>
    <t>Alanna</t>
  </si>
  <si>
    <t>Hess</t>
  </si>
  <si>
    <t>Bennett</t>
  </si>
  <si>
    <t>Chen</t>
  </si>
  <si>
    <t>Kole</t>
  </si>
  <si>
    <t>Shannon</t>
  </si>
  <si>
    <t>Brisa</t>
  </si>
  <si>
    <t>Mckee</t>
  </si>
  <si>
    <t>Sidney</t>
  </si>
  <si>
    <t>Cline</t>
  </si>
  <si>
    <t>Morgan</t>
  </si>
  <si>
    <t>Glass</t>
  </si>
  <si>
    <t>Mason</t>
  </si>
  <si>
    <t>Gilbert</t>
  </si>
  <si>
    <t>Emmy</t>
  </si>
  <si>
    <t>Singh</t>
  </si>
  <si>
    <t>Emilie</t>
  </si>
  <si>
    <t>Morrison</t>
  </si>
  <si>
    <t>Kamden</t>
  </si>
  <si>
    <t>Stewart</t>
  </si>
  <si>
    <t>Kayley</t>
  </si>
  <si>
    <t>Nielsen</t>
  </si>
  <si>
    <t>Belinda</t>
  </si>
  <si>
    <t>Hogan</t>
  </si>
  <si>
    <t>Araceli</t>
  </si>
  <si>
    <t>Nelson</t>
  </si>
  <si>
    <t>Colin</t>
  </si>
  <si>
    <t>Campos</t>
  </si>
  <si>
    <t>Skylar</t>
  </si>
  <si>
    <t>Buchanan</t>
  </si>
  <si>
    <t>Mohammad</t>
  </si>
  <si>
    <t>Irwin</t>
  </si>
  <si>
    <t>Alejandra</t>
  </si>
  <si>
    <t>Greer</t>
  </si>
  <si>
    <t>Matilda</t>
  </si>
  <si>
    <t>Madden</t>
  </si>
  <si>
    <t>Derick</t>
  </si>
  <si>
    <t>Li</t>
  </si>
  <si>
    <t>Aniyah</t>
  </si>
  <si>
    <t>Ali</t>
  </si>
  <si>
    <t>Anahi</t>
  </si>
  <si>
    <t>Curry</t>
  </si>
  <si>
    <t>Tyler</t>
  </si>
  <si>
    <t>Carr</t>
  </si>
  <si>
    <t>Jair</t>
  </si>
  <si>
    <t>Johns</t>
  </si>
  <si>
    <t>Henry</t>
  </si>
  <si>
    <t>Kennedy</t>
  </si>
  <si>
    <t>Gianni</t>
  </si>
  <si>
    <t>Fritz</t>
  </si>
  <si>
    <t>Christian</t>
  </si>
  <si>
    <t>Costa</t>
  </si>
  <si>
    <t>Johanna</t>
  </si>
  <si>
    <t>Fisher</t>
  </si>
  <si>
    <t>Michael</t>
  </si>
  <si>
    <t>Juarez</t>
  </si>
  <si>
    <t>Terry</t>
  </si>
  <si>
    <t>Forbes</t>
  </si>
  <si>
    <t>Enrique</t>
  </si>
  <si>
    <t>Cardenas</t>
  </si>
  <si>
    <t>Ramiro</t>
  </si>
  <si>
    <t>Oneill</t>
  </si>
  <si>
    <t>Trey</t>
  </si>
  <si>
    <t>Strong</t>
  </si>
  <si>
    <t>Adriana</t>
  </si>
  <si>
    <t>Shaffer</t>
  </si>
  <si>
    <t>Emely</t>
  </si>
  <si>
    <t>Watts</t>
  </si>
  <si>
    <t>Crystal</t>
  </si>
  <si>
    <t>Wyatt</t>
  </si>
  <si>
    <t>Valentina</t>
  </si>
  <si>
    <t>Simpson</t>
  </si>
  <si>
    <t>Conner</t>
  </si>
  <si>
    <t>Huff</t>
  </si>
  <si>
    <t>Tristian</t>
  </si>
  <si>
    <t>Fuller</t>
  </si>
  <si>
    <t>Erik</t>
  </si>
  <si>
    <t>Mora</t>
  </si>
  <si>
    <t>Michelle</t>
  </si>
  <si>
    <t>Cameron</t>
  </si>
  <si>
    <t>Anderson</t>
  </si>
  <si>
    <t>Alonso</t>
  </si>
  <si>
    <t>Terrell</t>
  </si>
  <si>
    <t>Joseph</t>
  </si>
  <si>
    <t>Reeves</t>
  </si>
  <si>
    <t>Jaylen</t>
  </si>
  <si>
    <t>Turner</t>
  </si>
  <si>
    <t>Joaquin</t>
  </si>
  <si>
    <t>Mullins</t>
  </si>
  <si>
    <t>Scarlet</t>
  </si>
  <si>
    <t>Hendricks</t>
  </si>
  <si>
    <t>Anya</t>
  </si>
  <si>
    <t>Stephenson</t>
  </si>
  <si>
    <t>Donavan</t>
  </si>
  <si>
    <t>Flowers</t>
  </si>
  <si>
    <t>Mara</t>
  </si>
  <si>
    <t>Franco</t>
  </si>
  <si>
    <t>Helen</t>
  </si>
  <si>
    <t>Williamson</t>
  </si>
  <si>
    <t>Oswaldo</t>
  </si>
  <si>
    <t>Palmer</t>
  </si>
  <si>
    <t>Jacqueline</t>
  </si>
  <si>
    <t>Nicolas</t>
  </si>
  <si>
    <t>Navarro</t>
  </si>
  <si>
    <t>Cole</t>
  </si>
  <si>
    <t>Taylor</t>
  </si>
  <si>
    <t>Kael</t>
  </si>
  <si>
    <t>Hurley</t>
  </si>
  <si>
    <t>Dayton</t>
  </si>
  <si>
    <t>Hatfield</t>
  </si>
  <si>
    <t>Lydia</t>
  </si>
  <si>
    <t>Tate</t>
  </si>
  <si>
    <t>Kyla</t>
  </si>
  <si>
    <t>Walker</t>
  </si>
  <si>
    <t>Jaylynn</t>
  </si>
  <si>
    <t>Hickman</t>
  </si>
  <si>
    <t>Sincere</t>
  </si>
  <si>
    <t>Hansen</t>
  </si>
  <si>
    <t>Kevin</t>
  </si>
  <si>
    <t>Mata</t>
  </si>
  <si>
    <t>Hazel</t>
  </si>
  <si>
    <t>Ayers</t>
  </si>
  <si>
    <t>Luke</t>
  </si>
  <si>
    <t>Lynn</t>
  </si>
  <si>
    <t>Janelle</t>
  </si>
  <si>
    <t>Espinoza</t>
  </si>
  <si>
    <t>Xavier</t>
  </si>
  <si>
    <t>Faulkner</t>
  </si>
  <si>
    <t>Zaiden</t>
  </si>
  <si>
    <t>Merritt</t>
  </si>
  <si>
    <t>Melanie</t>
  </si>
  <si>
    <t>Holland</t>
  </si>
  <si>
    <t>Violet</t>
  </si>
  <si>
    <t>Nixon</t>
  </si>
  <si>
    <t>Jordyn</t>
  </si>
  <si>
    <t>Park</t>
  </si>
  <si>
    <t>Warren</t>
  </si>
  <si>
    <t>Pugh</t>
  </si>
  <si>
    <t>Jace</t>
  </si>
  <si>
    <t>Riggs</t>
  </si>
  <si>
    <t>Mendez</t>
  </si>
  <si>
    <t>Julio</t>
  </si>
  <si>
    <t>Leonard</t>
  </si>
  <si>
    <t>Yurem</t>
  </si>
  <si>
    <t>Wright</t>
  </si>
  <si>
    <t>Antonio</t>
  </si>
  <si>
    <t>Porter</t>
  </si>
  <si>
    <t>Amanda</t>
  </si>
  <si>
    <t>Simon</t>
  </si>
  <si>
    <t>Case</t>
  </si>
  <si>
    <t>Sanchez</t>
  </si>
  <si>
    <t>Luis</t>
  </si>
  <si>
    <t>Crane</t>
  </si>
  <si>
    <t>Rodrigo</t>
  </si>
  <si>
    <t>Robinson</t>
  </si>
  <si>
    <t>Ava</t>
  </si>
  <si>
    <t>Phelps</t>
  </si>
  <si>
    <t>Grace</t>
  </si>
  <si>
    <t>Stein</t>
  </si>
  <si>
    <t>Myla</t>
  </si>
  <si>
    <t>Ewing</t>
  </si>
  <si>
    <t>Rachel</t>
  </si>
  <si>
    <t>Cross</t>
  </si>
  <si>
    <t>Frank</t>
  </si>
  <si>
    <t>Meyer</t>
  </si>
  <si>
    <t>Diana</t>
  </si>
  <si>
    <t>Hunt</t>
  </si>
  <si>
    <t>Kareem</t>
  </si>
  <si>
    <t>Liu</t>
  </si>
  <si>
    <t>Curtis</t>
  </si>
  <si>
    <t>Howard</t>
  </si>
  <si>
    <t>Jamal</t>
  </si>
  <si>
    <t>Mueller</t>
  </si>
  <si>
    <t>Esther</t>
  </si>
  <si>
    <t>Jakobe</t>
  </si>
  <si>
    <t>Bailey</t>
  </si>
  <si>
    <t>Dangelo</t>
  </si>
  <si>
    <t>Shea</t>
  </si>
  <si>
    <t>Sonia</t>
  </si>
  <si>
    <t>Choi</t>
  </si>
  <si>
    <t>Kaitlin</t>
  </si>
  <si>
    <t>Owen</t>
  </si>
  <si>
    <t>Ruben</t>
  </si>
  <si>
    <t>Melton</t>
  </si>
  <si>
    <t>Maia</t>
  </si>
  <si>
    <t>Chandler</t>
  </si>
  <si>
    <t>Van</t>
  </si>
  <si>
    <t>Charles</t>
  </si>
  <si>
    <t>Brock</t>
  </si>
  <si>
    <t>Fischer</t>
  </si>
  <si>
    <t>Issac</t>
  </si>
  <si>
    <t>Edwards</t>
  </si>
  <si>
    <t>Miguel</t>
  </si>
  <si>
    <t>Walter</t>
  </si>
  <si>
    <t>Kale</t>
  </si>
  <si>
    <t>Gay</t>
  </si>
  <si>
    <t>Ivan</t>
  </si>
  <si>
    <t>Bright</t>
  </si>
  <si>
    <t>Kamila</t>
  </si>
  <si>
    <t>Collier</t>
  </si>
  <si>
    <t>Jack</t>
  </si>
  <si>
    <t>Hanson</t>
  </si>
  <si>
    <t>Russell</t>
  </si>
  <si>
    <t>Gross</t>
  </si>
  <si>
    <t>Jesus</t>
  </si>
  <si>
    <t>Obrien</t>
  </si>
  <si>
    <t>Melany</t>
  </si>
  <si>
    <t>Glover</t>
  </si>
  <si>
    <t>Aniya</t>
  </si>
  <si>
    <t>Miller</t>
  </si>
  <si>
    <t>Yesenia</t>
  </si>
  <si>
    <t>Marquez</t>
  </si>
  <si>
    <t>Annabel</t>
  </si>
  <si>
    <t>Robles</t>
  </si>
  <si>
    <t>Ezra</t>
  </si>
  <si>
    <t>Lozano</t>
  </si>
  <si>
    <t>Kassidy</t>
  </si>
  <si>
    <t>Vega</t>
  </si>
  <si>
    <t>Augustus</t>
  </si>
  <si>
    <t>Hinton</t>
  </si>
  <si>
    <t>Nyla</t>
  </si>
  <si>
    <t>Blake</t>
  </si>
  <si>
    <t>Parker</t>
  </si>
  <si>
    <t>Poole</t>
  </si>
  <si>
    <t>Madeline</t>
  </si>
  <si>
    <t>Emmett</t>
  </si>
  <si>
    <t>Estes</t>
  </si>
  <si>
    <t>Iris</t>
  </si>
  <si>
    <t>Larsen</t>
  </si>
  <si>
    <t>Kayden</t>
  </si>
  <si>
    <t>Olsen</t>
  </si>
  <si>
    <t>Logan</t>
  </si>
  <si>
    <t>Simmons</t>
  </si>
  <si>
    <t>Isis</t>
  </si>
  <si>
    <t>Rios</t>
  </si>
  <si>
    <t>Myah</t>
  </si>
  <si>
    <t>Roman</t>
  </si>
  <si>
    <t>Darien</t>
  </si>
  <si>
    <t>Dorsey</t>
  </si>
  <si>
    <t>Camille</t>
  </si>
  <si>
    <t>Sharp</t>
  </si>
  <si>
    <t>Erika</t>
  </si>
  <si>
    <t>Gallagher</t>
  </si>
  <si>
    <t>Co</t>
  </si>
  <si>
    <t>Bridger CAL</t>
  </si>
  <si>
    <t>Kylax</t>
  </si>
  <si>
    <t>Elena</t>
  </si>
  <si>
    <t>Petrova</t>
  </si>
  <si>
    <t>Piotr</t>
  </si>
  <si>
    <t>Aleksandrov</t>
  </si>
  <si>
    <t>Aleksandra</t>
  </si>
  <si>
    <t>Karenina</t>
  </si>
  <si>
    <t>C0057</t>
  </si>
  <si>
    <t>C0058</t>
  </si>
  <si>
    <t>Canada</t>
  </si>
  <si>
    <t>Diego</t>
  </si>
  <si>
    <t>C0086</t>
  </si>
  <si>
    <t>C0087</t>
  </si>
  <si>
    <t>C0088</t>
  </si>
  <si>
    <t>Gordon</t>
  </si>
  <si>
    <t>Brown</t>
  </si>
  <si>
    <t>C0001</t>
  </si>
  <si>
    <t>Kamd</t>
  </si>
  <si>
    <t>C0094</t>
  </si>
  <si>
    <t>C0100</t>
  </si>
  <si>
    <t>C0105</t>
  </si>
  <si>
    <t>C0110</t>
  </si>
  <si>
    <t>C0121</t>
  </si>
  <si>
    <t>C0133</t>
  </si>
  <si>
    <t>C0126</t>
  </si>
  <si>
    <t>C0130</t>
  </si>
  <si>
    <t>C0145</t>
  </si>
  <si>
    <t>C0148</t>
  </si>
  <si>
    <t>C0138</t>
  </si>
  <si>
    <t>C0139</t>
  </si>
  <si>
    <t>C0140</t>
  </si>
  <si>
    <t>C0170</t>
  </si>
  <si>
    <t>C0146</t>
  </si>
  <si>
    <t>C0150</t>
  </si>
  <si>
    <t>C0154</t>
  </si>
  <si>
    <t>C0157</t>
  </si>
  <si>
    <t>Steward</t>
  </si>
  <si>
    <t>Marleez</t>
  </si>
  <si>
    <t>Price</t>
  </si>
  <si>
    <t>Type of property</t>
  </si>
  <si>
    <t>Entity</t>
  </si>
  <si>
    <t>Age at time of purchase</t>
  </si>
  <si>
    <t>Interval</t>
  </si>
  <si>
    <t>Deal satisfaction</t>
  </si>
  <si>
    <t>Website</t>
  </si>
  <si>
    <t>C0175</t>
  </si>
  <si>
    <t>365 DataScience RE California Database</t>
  </si>
  <si>
    <t>Product</t>
  </si>
  <si>
    <t>Customer</t>
  </si>
  <si>
    <t>Property #</t>
  </si>
  <si>
    <t>N/A</t>
  </si>
  <si>
    <t>Building</t>
  </si>
  <si>
    <t>x</t>
  </si>
  <si>
    <t>Types of data and levels of measurement</t>
  </si>
  <si>
    <t>Histograms. Graphing numerical data</t>
  </si>
  <si>
    <t>Scatter plot. Plotting numerical data; establishing relationship between variables.</t>
  </si>
  <si>
    <t>Frequency distribution table. Pareto diagram.</t>
  </si>
  <si>
    <r>
      <t xml:space="preserve">Task 7: </t>
    </r>
    <r>
      <rPr>
        <sz val="9"/>
        <color theme="1"/>
        <rFont val="Arial"/>
        <family val="2"/>
      </rPr>
      <t>Create a Pareto diagram representing the data.</t>
    </r>
  </si>
  <si>
    <t>Measures of central tendency, asymmetry and variability</t>
  </si>
  <si>
    <r>
      <rPr>
        <b/>
        <sz val="9"/>
        <color rgb="FF002060"/>
        <rFont val="Arial"/>
        <family val="2"/>
      </rPr>
      <t>Task 9</t>
    </r>
    <r>
      <rPr>
        <sz val="9"/>
        <color rgb="FF000000"/>
        <rFont val="Arial"/>
        <family val="2"/>
      </rPr>
      <t>: Interpret the measures.</t>
    </r>
  </si>
  <si>
    <t>Measures of relationship between variables</t>
  </si>
  <si>
    <r>
      <t xml:space="preserve">Task 3: </t>
    </r>
    <r>
      <rPr>
        <sz val="9"/>
        <color theme="1"/>
        <rFont val="Arial"/>
        <family val="2"/>
      </rPr>
      <t>Create a histogram which represents the Price variable. Choose interval width (bins) of length $100,000. If you don't know how to do that, refer to the Course notes on descriptive statistics provided with the first lecture in this section.</t>
    </r>
  </si>
  <si>
    <r>
      <t xml:space="preserve">Task 4: </t>
    </r>
    <r>
      <rPr>
        <sz val="9"/>
        <color theme="1"/>
        <rFont val="Arial"/>
        <family val="2"/>
      </rPr>
      <t>Interpret the results.</t>
    </r>
  </si>
  <si>
    <r>
      <t xml:space="preserve">Task 1: </t>
    </r>
    <r>
      <rPr>
        <sz val="9"/>
        <color theme="1"/>
        <rFont val="Arial"/>
        <family val="2"/>
      </rPr>
      <t>What are the types of data and the levels of measurement of the following variables: Cust ID, Mortgage, Year of sale</t>
    </r>
  </si>
  <si>
    <r>
      <t xml:space="preserve">Task 6: </t>
    </r>
    <r>
      <rPr>
        <sz val="9"/>
        <color theme="1"/>
        <rFont val="Arial"/>
        <family val="2"/>
      </rPr>
      <t xml:space="preserve">Create a frequency distribution table, where you list all the countries from which the company has buyers (country vs number of buyers). Count the absolute frequency, the relative frequency and the cumulative frequency. </t>
    </r>
  </si>
  <si>
    <t xml:space="preserve">              Use the data on all properties, no matter if sold or not.</t>
  </si>
  <si>
    <r>
      <t xml:space="preserve">Task 5: </t>
    </r>
    <r>
      <rPr>
        <sz val="9"/>
        <color theme="1"/>
        <rFont val="Arial"/>
        <family val="2"/>
      </rPr>
      <t>Create a scatter plot showing the relationship between Price and Area. Use the data on all properties, no matter if sold or not. Interpret the results.</t>
    </r>
  </si>
  <si>
    <r>
      <t xml:space="preserve">Task 8: </t>
    </r>
    <r>
      <rPr>
        <sz val="9"/>
        <color theme="1"/>
        <rFont val="Arial"/>
        <family val="2"/>
      </rPr>
      <t>Calculate the mean, median, mode, skewness, variance and standard deviation of Price for all properties, no matter if sold or not.</t>
    </r>
  </si>
  <si>
    <r>
      <t xml:space="preserve">Task 10: </t>
    </r>
    <r>
      <rPr>
        <sz val="9"/>
        <color theme="1"/>
        <rFont val="Arial"/>
        <family val="2"/>
      </rPr>
      <t>Calculate the covariance and correlation coefficient between Price and Area, no matter if the property is sold or not. Is the result in line with the scatter plot?</t>
    </r>
  </si>
  <si>
    <r>
      <t xml:space="preserve">Task 2: </t>
    </r>
    <r>
      <rPr>
        <sz val="9"/>
        <color theme="1"/>
        <rFont val="Arial"/>
        <family val="2"/>
      </rPr>
      <t>Create a frequency distribution graph representing the price (that is a histogram with the highest possible number of bins - 267). Use data on all apartments and offices, no matter if sold or not.</t>
    </r>
  </si>
  <si>
    <t>Type of data</t>
  </si>
  <si>
    <t>Level of measurement</t>
  </si>
  <si>
    <t>Cust ID</t>
  </si>
  <si>
    <t>Categorical</t>
  </si>
  <si>
    <t>Nominal</t>
  </si>
  <si>
    <t>Ordinal</t>
  </si>
  <si>
    <t>Numerical</t>
  </si>
  <si>
    <t>Ratio</t>
  </si>
  <si>
    <t>Graph (2): Property prices are right skewed (meaning a few very expensive properties but the majority at around the $217K mark)</t>
  </si>
  <si>
    <t>Graph (1): Most of the property prices are concetrated around the $199k to $292K mark</t>
  </si>
  <si>
    <t>There is a high correlation between the area and price</t>
  </si>
  <si>
    <t>Absolute Frequency</t>
  </si>
  <si>
    <t>Relative Frequency</t>
  </si>
  <si>
    <t>Cumulative Frequency</t>
  </si>
  <si>
    <t>Sum</t>
  </si>
  <si>
    <t>Mean</t>
  </si>
  <si>
    <t>Median</t>
  </si>
  <si>
    <t>Mode</t>
  </si>
  <si>
    <t>Skewness</t>
  </si>
  <si>
    <t>Variance</t>
  </si>
  <si>
    <t>Standard deviation</t>
  </si>
  <si>
    <t>The mean and the median are very cose together indicating that the dispersion of house prices are very close together</t>
  </si>
  <si>
    <t>However, this is slighly skewed by the most frequently occuring value of $460K as demonstrated by the skewness factor</t>
  </si>
  <si>
    <t>The variance shows a wide dispersion about the mean possibly by one outlier (expensive property) or the frequently occuring price</t>
  </si>
  <si>
    <t>Covariance</t>
  </si>
  <si>
    <t>Corrolation</t>
  </si>
  <si>
    <t>Corrolation aligns with the scatter plot</t>
  </si>
  <si>
    <t>Variable</t>
  </si>
  <si>
    <t>Comment</t>
  </si>
  <si>
    <t>This variable has the same properties as ID.</t>
  </si>
  <si>
    <t>This is a Binary variable. Like a Yes/No question or Gender.</t>
  </si>
  <si>
    <t>Numerical, discrete</t>
  </si>
  <si>
    <t>Year is a numerical variable. It is always discrete. The level of measurement is questionable, but we would treat it as interval, as the 0 year would be the time when the Big Bang happened. The current BC-AD calendar was arbitrary chosen (similarly to degrees Celsius and Fahrenheit).</t>
  </si>
  <si>
    <t>Output (price) should always be on they-axis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</si>
</sst>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2" x14ac:knownFonts="1">
    <font>
      <sz val="11"/>
      <color rgb="FF000000"/>
      <name val="Calibri"/>
    </font>
    <font>
      <sz val="11"/>
      <color rgb="FF000000"/>
      <name val="Calibri"/>
      <family val="2"/>
    </font>
    <font>
      <sz val="9"/>
      <color rgb="FF000000"/>
      <name val="Arial"/>
      <family val="2"/>
    </font>
    <font>
      <sz val="9"/>
      <name val="Arial"/>
      <family val="2"/>
    </font>
    <font>
      <b/>
      <sz val="12"/>
      <color rgb="FF002060"/>
      <name val="Arial"/>
      <family val="2"/>
    </font>
    <font>
      <b/>
      <sz val="9"/>
      <color rgb="FF002060"/>
      <name val="Arial"/>
      <family val="2"/>
    </font>
    <font>
      <sz val="9"/>
      <color rgb="FF000000"/>
      <name val="Calibri"/>
      <family val="2"/>
    </font>
    <font>
      <sz val="9"/>
      <color theme="1"/>
      <name val="Arial"/>
      <family val="2"/>
    </font>
    <font>
      <sz val="9"/>
      <color rgb="FF002060"/>
      <name val="Arial"/>
      <family val="2"/>
    </font>
    <font>
      <b/>
      <sz val="10"/>
      <color theme="0"/>
      <name val="Arial"/>
      <family val="2"/>
    </font>
    <font>
      <b/>
      <sz val="9"/>
      <color rgb="FF000000"/>
      <name val="Arial"/>
      <family val="2"/>
    </font>
    <font>
      <sz val="9"/>
      <color rgb="FFFF0000"/>
      <name val="Arial"/>
      <family val="2"/>
    </font>
  </fonts>
  <fills count="7">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0"/>
        <bgColor rgb="FFFFFFFF"/>
      </patternFill>
    </fill>
    <fill>
      <patternFill patternType="solid">
        <fgColor rgb="FF002060"/>
        <bgColor indexed="64"/>
      </patternFill>
    </fill>
  </fills>
  <borders count="3">
    <border>
      <left/>
      <right/>
      <top/>
      <bottom/>
      <diagonal/>
    </border>
    <border>
      <left/>
      <right/>
      <top/>
      <bottom style="medium">
        <color rgb="FF002060"/>
      </bottom>
      <diagonal/>
    </border>
    <border>
      <left style="thin">
        <color indexed="64"/>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1" fillId="0" borderId="0"/>
    <xf numFmtId="9" fontId="1" fillId="0" borderId="0" applyFont="0" applyFill="0" applyBorder="0" applyAlignment="0" applyProtection="0"/>
  </cellStyleXfs>
  <cellXfs count="65">
    <xf numFmtId="0" fontId="0" fillId="0" borderId="0" xfId="0" applyFont="1" applyAlignment="1"/>
    <xf numFmtId="0" fontId="2" fillId="2" borderId="0" xfId="0" applyFont="1" applyFill="1" applyBorder="1" applyAlignment="1">
      <alignment horizontal="center" vertical="center"/>
    </xf>
    <xf numFmtId="2" fontId="2" fillId="2" borderId="0" xfId="0" applyNumberFormat="1" applyFont="1" applyFill="1" applyBorder="1" applyAlignment="1">
      <alignment horizontal="center"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1" fontId="2" fillId="2" borderId="0" xfId="0" applyNumberFormat="1" applyFont="1" applyFill="1" applyBorder="1" applyAlignment="1">
      <alignment horizontal="right" vertical="center"/>
    </xf>
    <xf numFmtId="0" fontId="2" fillId="0" borderId="0" xfId="0" applyFont="1" applyBorder="1" applyAlignment="1">
      <alignment horizontal="left" vertical="center"/>
    </xf>
    <xf numFmtId="2" fontId="2" fillId="2" borderId="0" xfId="0" applyNumberFormat="1" applyFont="1" applyFill="1" applyBorder="1" applyAlignment="1">
      <alignment vertical="center"/>
    </xf>
    <xf numFmtId="2" fontId="2" fillId="2" borderId="0" xfId="0" applyNumberFormat="1" applyFont="1" applyFill="1" applyBorder="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Border="1" applyAlignment="1">
      <alignment horizontal="left" vertical="center"/>
    </xf>
    <xf numFmtId="0" fontId="2" fillId="0" borderId="0" xfId="0" applyFont="1" applyAlignment="1">
      <alignment horizontal="right" vertical="center"/>
    </xf>
    <xf numFmtId="2" fontId="2" fillId="2" borderId="0" xfId="0" applyNumberFormat="1" applyFont="1" applyFill="1" applyBorder="1" applyAlignment="1">
      <alignment horizontal="left" vertical="center"/>
    </xf>
    <xf numFmtId="164" fontId="2" fillId="2" borderId="0" xfId="1" applyFont="1" applyFill="1" applyBorder="1" applyAlignment="1">
      <alignment vertical="center"/>
    </xf>
    <xf numFmtId="1" fontId="0" fillId="2" borderId="0" xfId="0" applyNumberFormat="1" applyFont="1" applyFill="1" applyBorder="1" applyAlignment="1">
      <alignment horizontal="center" vertical="center"/>
    </xf>
    <xf numFmtId="0" fontId="2" fillId="2" borderId="0" xfId="0" applyNumberFormat="1" applyFont="1" applyFill="1" applyBorder="1" applyAlignment="1">
      <alignment horizontal="right" vertical="center"/>
    </xf>
    <xf numFmtId="0" fontId="4"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164" fontId="2" fillId="0" borderId="0" xfId="1" applyFont="1" applyAlignment="1">
      <alignment vertical="center"/>
    </xf>
    <xf numFmtId="0" fontId="2" fillId="0" borderId="0" xfId="0" applyFont="1" applyBorder="1" applyAlignment="1">
      <alignment horizontal="right" vertical="center"/>
    </xf>
    <xf numFmtId="0" fontId="4" fillId="4" borderId="0" xfId="0" applyFont="1" applyFill="1" applyAlignment="1">
      <alignment vertical="center"/>
    </xf>
    <xf numFmtId="0" fontId="5" fillId="4" borderId="0" xfId="0" applyFont="1" applyFill="1" applyAlignment="1">
      <alignment vertical="center"/>
    </xf>
    <xf numFmtId="0" fontId="2" fillId="5" borderId="0" xfId="0" applyFont="1" applyFill="1" applyBorder="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7" fillId="4" borderId="0" xfId="0" applyFont="1" applyFill="1" applyBorder="1" applyAlignment="1">
      <alignment vertical="center"/>
    </xf>
    <xf numFmtId="0" fontId="6" fillId="4" borderId="0" xfId="0" applyFont="1" applyFill="1" applyBorder="1" applyAlignment="1">
      <alignment vertical="center"/>
    </xf>
    <xf numFmtId="0" fontId="0" fillId="4" borderId="0" xfId="0" applyFont="1" applyFill="1" applyAlignment="1"/>
    <xf numFmtId="0" fontId="2" fillId="4" borderId="0" xfId="0" applyFont="1" applyFill="1" applyAlignment="1"/>
    <xf numFmtId="0" fontId="5" fillId="4" borderId="0" xfId="0" applyFont="1" applyFill="1" applyAlignment="1"/>
    <xf numFmtId="1" fontId="2" fillId="2" borderId="0" xfId="0" applyNumberFormat="1" applyFont="1" applyFill="1" applyBorder="1" applyAlignment="1">
      <alignment horizontal="left" vertical="center"/>
    </xf>
    <xf numFmtId="0" fontId="5" fillId="3" borderId="1" xfId="0" applyFont="1" applyFill="1" applyBorder="1" applyAlignment="1">
      <alignment horizontal="left" vertical="center"/>
    </xf>
    <xf numFmtId="0" fontId="5" fillId="3" borderId="0" xfId="0" applyFont="1" applyFill="1" applyBorder="1" applyAlignment="1">
      <alignment horizontal="center" vertical="center"/>
    </xf>
    <xf numFmtId="1" fontId="2" fillId="2" borderId="0" xfId="0" applyNumberFormat="1" applyFont="1" applyFill="1" applyBorder="1" applyAlignment="1">
      <alignment horizontal="center" vertical="center"/>
    </xf>
    <xf numFmtId="0" fontId="2" fillId="0" borderId="0" xfId="0" applyFont="1" applyBorder="1" applyAlignment="1">
      <alignment vertical="center"/>
    </xf>
    <xf numFmtId="0" fontId="5" fillId="4" borderId="0" xfId="0" applyFont="1" applyFill="1" applyBorder="1" applyAlignment="1">
      <alignment horizontal="right" vertical="center"/>
    </xf>
    <xf numFmtId="0" fontId="5" fillId="4" borderId="0" xfId="0" applyFont="1" applyFill="1" applyBorder="1" applyAlignment="1">
      <alignment vertical="center"/>
    </xf>
    <xf numFmtId="0" fontId="2" fillId="4" borderId="0" xfId="0" applyFont="1" applyFill="1" applyBorder="1" applyAlignment="1"/>
    <xf numFmtId="0" fontId="5" fillId="4" borderId="0" xfId="0" applyFont="1" applyFill="1" applyBorder="1" applyAlignment="1"/>
    <xf numFmtId="0" fontId="8" fillId="4" borderId="0" xfId="0" applyFont="1" applyFill="1" applyBorder="1" applyAlignment="1"/>
    <xf numFmtId="0" fontId="7" fillId="4" borderId="0" xfId="0" applyFont="1" applyFill="1" applyAlignment="1"/>
    <xf numFmtId="0" fontId="2" fillId="4" borderId="2" xfId="0" applyFont="1" applyFill="1" applyBorder="1" applyAlignment="1"/>
    <xf numFmtId="0" fontId="7" fillId="4" borderId="2" xfId="0" applyFont="1" applyFill="1" applyBorder="1" applyAlignment="1">
      <alignment vertical="center"/>
    </xf>
    <xf numFmtId="0" fontId="2" fillId="5" borderId="2" xfId="0" applyFont="1" applyFill="1" applyBorder="1" applyAlignment="1">
      <alignment horizontal="left" vertical="center"/>
    </xf>
    <xf numFmtId="0" fontId="2" fillId="2" borderId="2" xfId="0" applyFont="1" applyFill="1" applyBorder="1" applyAlignment="1">
      <alignment horizontal="left" vertical="center"/>
    </xf>
    <xf numFmtId="0" fontId="10" fillId="4" borderId="2" xfId="0" applyFont="1" applyFill="1" applyBorder="1" applyAlignment="1"/>
    <xf numFmtId="2" fontId="2" fillId="4" borderId="2" xfId="0" applyNumberFormat="1" applyFont="1" applyFill="1" applyBorder="1" applyAlignment="1"/>
    <xf numFmtId="2" fontId="2" fillId="4" borderId="0" xfId="0" applyNumberFormat="1" applyFont="1" applyFill="1" applyAlignment="1"/>
    <xf numFmtId="164" fontId="2" fillId="2" borderId="2" xfId="1" applyFont="1" applyFill="1" applyBorder="1" applyAlignment="1">
      <alignment vertical="center"/>
    </xf>
    <xf numFmtId="0" fontId="3" fillId="4" borderId="0" xfId="0" applyFont="1" applyFill="1" applyBorder="1" applyAlignment="1"/>
    <xf numFmtId="0" fontId="9" fillId="6" borderId="0" xfId="0" applyFont="1" applyFill="1" applyAlignment="1">
      <alignment horizontal="center" vertical="center"/>
    </xf>
    <xf numFmtId="0" fontId="11" fillId="4" borderId="2" xfId="0" applyFont="1" applyFill="1" applyBorder="1" applyAlignment="1">
      <alignment vertical="center"/>
    </xf>
    <xf numFmtId="0" fontId="2" fillId="5" borderId="0" xfId="2" applyFont="1" applyFill="1" applyBorder="1" applyAlignment="1">
      <alignment horizontal="left" vertical="center"/>
    </xf>
    <xf numFmtId="0" fontId="7" fillId="4" borderId="0" xfId="2" applyFont="1" applyFill="1" applyBorder="1" applyAlignment="1">
      <alignment vertical="center"/>
    </xf>
    <xf numFmtId="9" fontId="7" fillId="4" borderId="0" xfId="3" applyFont="1" applyFill="1" applyBorder="1" applyAlignment="1">
      <alignment vertical="center"/>
    </xf>
    <xf numFmtId="0" fontId="2" fillId="4" borderId="0" xfId="2" applyFont="1" applyFill="1" applyAlignment="1"/>
    <xf numFmtId="9" fontId="7" fillId="4" borderId="0" xfId="2" applyNumberFormat="1" applyFont="1" applyFill="1" applyBorder="1" applyAlignment="1">
      <alignment vertical="center"/>
    </xf>
    <xf numFmtId="0" fontId="5" fillId="5" borderId="1" xfId="2" applyFont="1" applyFill="1" applyBorder="1" applyAlignment="1">
      <alignment horizontal="left" vertical="center"/>
    </xf>
    <xf numFmtId="0" fontId="5" fillId="4" borderId="1" xfId="2" applyFont="1" applyFill="1" applyBorder="1" applyAlignment="1">
      <alignment vertical="center"/>
    </xf>
    <xf numFmtId="9" fontId="5" fillId="4" borderId="1" xfId="3" applyFont="1" applyFill="1" applyBorder="1" applyAlignment="1">
      <alignment vertical="center"/>
    </xf>
    <xf numFmtId="9" fontId="2" fillId="4" borderId="2" xfId="0" applyNumberFormat="1" applyFont="1" applyFill="1" applyBorder="1" applyAlignment="1"/>
  </cellXfs>
  <cellStyles count="4">
    <cellStyle name="Currency" xfId="1" builtinId="4"/>
    <cellStyle name="Normal" xfId="0" builtinId="0"/>
    <cellStyle name="Normal 2" xfId="2" xr:uid="{05639657-2DBF-4C9B-9D7B-3CF59CA4E2DA}"/>
    <cellStyle name="Percent 2" xfId="3" xr:uid="{0FE0FE24-2796-4F5E-8691-81B9D1C7182C}"/>
  </cellStyles>
  <dxfs count="1">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v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'365RE'!$I$5</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xVal>
          <c:y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yVal>
          <c:smooth val="0"/>
          <c:extLst>
            <c:ext xmlns:c16="http://schemas.microsoft.com/office/drawing/2014/chart" uri="{C3380CC4-5D6E-409C-BE32-E72D297353CC}">
              <c16:uniqueId val="{00000000-D6F4-4EB3-AF87-D05478A36DA6}"/>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'365RE'!$H$5</c:f>
              <c:strCache>
                <c:ptCount val="1"/>
                <c:pt idx="0">
                  <c:v>Area (ft.)</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xVal>
          <c:y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yVal>
          <c:smooth val="0"/>
          <c:extLst>
            <c:ext xmlns:c16="http://schemas.microsoft.com/office/drawing/2014/chart" uri="{C3380CC4-5D6E-409C-BE32-E72D297353CC}">
              <c16:uniqueId val="{00000000-DB77-41D6-A072-DECD1332553C}"/>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by Number of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'Tasks 6,7'!$D$9</c:f>
              <c:strCache>
                <c:ptCount val="1"/>
                <c:pt idx="0">
                  <c:v>Absolute 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6,7'!$C$10:$C$17</c:f>
              <c:strCache>
                <c:ptCount val="8"/>
                <c:pt idx="0">
                  <c:v>USA</c:v>
                </c:pt>
                <c:pt idx="1">
                  <c:v>Canada</c:v>
                </c:pt>
                <c:pt idx="2">
                  <c:v>Russia</c:v>
                </c:pt>
                <c:pt idx="3">
                  <c:v>Belgium</c:v>
                </c:pt>
                <c:pt idx="4">
                  <c:v>UK</c:v>
                </c:pt>
                <c:pt idx="5">
                  <c:v>Denmark</c:v>
                </c:pt>
                <c:pt idx="6">
                  <c:v>Germany</c:v>
                </c:pt>
                <c:pt idx="7">
                  <c:v>Mexico</c:v>
                </c:pt>
              </c:strCache>
            </c:strRef>
          </c:cat>
          <c:val>
            <c:numRef>
              <c:f>'Tasks 6,7'!$D$10:$D$17</c:f>
              <c:numCache>
                <c:formatCode>General</c:formatCode>
                <c:ptCount val="8"/>
                <c:pt idx="0">
                  <c:v>177</c:v>
                </c:pt>
                <c:pt idx="1">
                  <c:v>7</c:v>
                </c:pt>
                <c:pt idx="2">
                  <c:v>4</c:v>
                </c:pt>
                <c:pt idx="3">
                  <c:v>2</c:v>
                </c:pt>
                <c:pt idx="4">
                  <c:v>2</c:v>
                </c:pt>
                <c:pt idx="5">
                  <c:v>1</c:v>
                </c:pt>
                <c:pt idx="6">
                  <c:v>1</c:v>
                </c:pt>
                <c:pt idx="7">
                  <c:v>1</c:v>
                </c:pt>
              </c:numCache>
            </c:numRef>
          </c:val>
          <c:extLst>
            <c:ext xmlns:c16="http://schemas.microsoft.com/office/drawing/2014/chart" uri="{C3380CC4-5D6E-409C-BE32-E72D297353CC}">
              <c16:uniqueId val="{00000000-AD71-43C4-AE68-6A7BA74B340D}"/>
            </c:ext>
          </c:extLst>
        </c:ser>
        <c:dLbls>
          <c:showLegendKey val="0"/>
          <c:showVal val="0"/>
          <c:showCatName val="0"/>
          <c:showSerName val="0"/>
          <c:showPercent val="0"/>
          <c:showBubbleSize val="0"/>
        </c:dLbls>
        <c:gapWidth val="219"/>
        <c:axId val="265443359"/>
        <c:axId val="265444191"/>
      </c:barChart>
      <c:lineChart>
        <c:grouping val="standard"/>
        <c:varyColors val="0"/>
        <c:ser>
          <c:idx val="1"/>
          <c:order val="1"/>
          <c:tx>
            <c:strRef>
              <c:f>'Tasks 6,7'!$F$9</c:f>
              <c:strCache>
                <c:ptCount val="1"/>
                <c:pt idx="0">
                  <c:v>Cumulative Frequency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6,7'!$C$10:$C$17</c:f>
              <c:strCache>
                <c:ptCount val="8"/>
                <c:pt idx="0">
                  <c:v>USA</c:v>
                </c:pt>
                <c:pt idx="1">
                  <c:v>Canada</c:v>
                </c:pt>
                <c:pt idx="2">
                  <c:v>Russia</c:v>
                </c:pt>
                <c:pt idx="3">
                  <c:v>Belgium</c:v>
                </c:pt>
                <c:pt idx="4">
                  <c:v>UK</c:v>
                </c:pt>
                <c:pt idx="5">
                  <c:v>Denmark</c:v>
                </c:pt>
                <c:pt idx="6">
                  <c:v>Germany</c:v>
                </c:pt>
                <c:pt idx="7">
                  <c:v>Mexico</c:v>
                </c:pt>
              </c:strCache>
            </c:strRef>
          </c:cat>
          <c:val>
            <c:numRef>
              <c:f>'Tasks 6,7'!$F$10:$F$17</c:f>
              <c:numCache>
                <c:formatCode>0%</c:formatCode>
                <c:ptCount val="8"/>
                <c:pt idx="0">
                  <c:v>0.90769230769230769</c:v>
                </c:pt>
                <c:pt idx="1">
                  <c:v>0.94358974358974357</c:v>
                </c:pt>
                <c:pt idx="2">
                  <c:v>0.96410256410256412</c:v>
                </c:pt>
                <c:pt idx="3">
                  <c:v>0.97435897435897434</c:v>
                </c:pt>
                <c:pt idx="4">
                  <c:v>0.98461538461538456</c:v>
                </c:pt>
                <c:pt idx="5">
                  <c:v>0.98974358974358967</c:v>
                </c:pt>
                <c:pt idx="6">
                  <c:v>0.99487179487179478</c:v>
                </c:pt>
                <c:pt idx="7">
                  <c:v>0.99999999999999989</c:v>
                </c:pt>
              </c:numCache>
            </c:numRef>
          </c:val>
          <c:smooth val="0"/>
          <c:extLst>
            <c:ext xmlns:c16="http://schemas.microsoft.com/office/drawing/2014/chart" uri="{C3380CC4-5D6E-409C-BE32-E72D297353CC}">
              <c16:uniqueId val="{00000001-AD71-43C4-AE68-6A7BA74B340D}"/>
            </c:ext>
          </c:extLst>
        </c:ser>
        <c:dLbls>
          <c:showLegendKey val="0"/>
          <c:showVal val="0"/>
          <c:showCatName val="0"/>
          <c:showSerName val="0"/>
          <c:showPercent val="0"/>
          <c:showBubbleSize val="0"/>
        </c:dLbls>
        <c:marker val="1"/>
        <c:smooth val="0"/>
        <c:axId val="265441695"/>
        <c:axId val="265443775"/>
      </c:lineChart>
      <c:catAx>
        <c:axId val="26544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4191"/>
        <c:crosses val="autoZero"/>
        <c:auto val="1"/>
        <c:lblAlgn val="ctr"/>
        <c:lblOffset val="100"/>
        <c:noMultiLvlLbl val="0"/>
      </c:catAx>
      <c:valAx>
        <c:axId val="26544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3359"/>
        <c:crosses val="autoZero"/>
        <c:crossBetween val="between"/>
      </c:valAx>
      <c:valAx>
        <c:axId val="2654437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1695"/>
        <c:crosses val="max"/>
        <c:crossBetween val="between"/>
      </c:valAx>
      <c:catAx>
        <c:axId val="265441695"/>
        <c:scaling>
          <c:orientation val="minMax"/>
        </c:scaling>
        <c:delete val="1"/>
        <c:axPos val="b"/>
        <c:numFmt formatCode="General" sourceLinked="1"/>
        <c:majorTickMark val="out"/>
        <c:minorTickMark val="none"/>
        <c:tickLblPos val="nextTo"/>
        <c:crossAx val="26544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'365RE'!$H$5</c:f>
              <c:strCache>
                <c:ptCount val="1"/>
                <c:pt idx="0">
                  <c:v>Area (ft.)</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xVal>
          <c:y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yVal>
          <c:smooth val="0"/>
          <c:extLst>
            <c:ext xmlns:c16="http://schemas.microsoft.com/office/drawing/2014/chart" uri="{C3380CC4-5D6E-409C-BE32-E72D297353CC}">
              <c16:uniqueId val="{00000000-C8B4-4D12-BCCD-EC6F98ADD97F}"/>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Freq. Dist. Price (1)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Freq. Dist. Price (1)</a:t>
          </a:r>
        </a:p>
      </cx:txPr>
    </cx:title>
    <cx:plotArea>
      <cx:plotAreaRegion>
        <cx:series layoutId="clusteredColumn" uniqueId="{C69E6866-7902-4469-A63E-E48DE7C0F597}">
          <cx:tx>
            <cx:txData>
              <cx:f>_xlchart.v1.0</cx:f>
              <cx:v>Price</cx:v>
            </cx:txData>
          </cx:tx>
          <cx:dataId val="0"/>
          <cx:layoutPr>
            <cx:binning intervalClosed="r">
              <cx:binCount val="267"/>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latin typeface="Calibri" panose="020F0502020204030204" pitchFamily="34" charset="0"/>
                <a:ea typeface="Calibri" panose="020F0502020204030204" pitchFamily="34" charset="0"/>
                <a:cs typeface="Calibri" panose="020F0502020204030204" pitchFamily="34" charset="0"/>
              </a:rPr>
              <a:t>Freq. Dist. Price (2)</a:t>
            </a:r>
            <a:endParaRPr lang="en-GB" sz="1400">
              <a:effectLst/>
              <a:latin typeface="Calibri" panose="020F0502020204030204" pitchFamily="34" charset="0"/>
              <a:ea typeface="Calibri" panose="020F0502020204030204" pitchFamily="34" charset="0"/>
              <a:cs typeface="Calibri" panose="020F0502020204030204" pitchFamily="34" charset="0"/>
            </a:endParaRPr>
          </a:p>
        </cx:rich>
      </cx:tx>
    </cx:title>
    <cx:plotArea>
      <cx:plotAreaRegion>
        <cx:series layoutId="clusteredColumn" uniqueId="{CDA47DD1-0B4C-4B96-BD87-56F8CECA195F}">
          <cx:tx>
            <cx:txData>
              <cx:f>_xlchart.v1.2</cx:f>
              <cx:v>Price</cx:v>
            </cx:txData>
          </cx:tx>
          <cx:dataId val="0"/>
          <cx:layoutPr>
            <cx:binning intervalClosed="r">
              <cx:binSize val="10000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251460</xdr:colOff>
      <xdr:row>7</xdr:row>
      <xdr:rowOff>68580</xdr:rowOff>
    </xdr:from>
    <xdr:to>
      <xdr:col>29</xdr:col>
      <xdr:colOff>274320</xdr:colOff>
      <xdr:row>36</xdr:row>
      <xdr:rowOff>137160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FF0A2A3-5656-4E2E-852C-7E70782E24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61960" y="1173480"/>
              <a:ext cx="10386060" cy="42748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228600</xdr:colOff>
      <xdr:row>7</xdr:row>
      <xdr:rowOff>68580</xdr:rowOff>
    </xdr:from>
    <xdr:to>
      <xdr:col>11</xdr:col>
      <xdr:colOff>541020</xdr:colOff>
      <xdr:row>35</xdr:row>
      <xdr:rowOff>106680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CC559E9-ED1A-4714-BD9B-39BA53E543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89760" y="1173480"/>
              <a:ext cx="5852160" cy="409956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800100</xdr:colOff>
      <xdr:row>7</xdr:row>
      <xdr:rowOff>22860</xdr:rowOff>
    </xdr:from>
    <xdr:to>
      <xdr:col>10</xdr:col>
      <xdr:colOff>327660</xdr:colOff>
      <xdr:row>33</xdr:row>
      <xdr:rowOff>0</xdr:rowOff>
    </xdr:to>
    <xdr:graphicFrame macro="">
      <xdr:nvGraphicFramePr>
        <xdr:cNvPr id="2" name="Chart 1">
          <a:extLst>
            <a:ext uri="{FF2B5EF4-FFF2-40B4-BE49-F238E27FC236}">
              <a16:creationId xmlns:a16="http://schemas.microsoft.com/office/drawing/2014/main" id="{98176AFE-B0F5-4730-80E4-334DA1DEF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198120</xdr:colOff>
      <xdr:row>7</xdr:row>
      <xdr:rowOff>15240</xdr:rowOff>
    </xdr:from>
    <xdr:to>
      <xdr:col>20</xdr:col>
      <xdr:colOff>556260</xdr:colOff>
      <xdr:row>33</xdr:row>
      <xdr:rowOff>15240</xdr:rowOff>
    </xdr:to>
    <xdr:graphicFrame macro="">
      <xdr:nvGraphicFramePr>
        <xdr:cNvPr id="3" name="Chart 2">
          <a:extLst>
            <a:ext uri="{FF2B5EF4-FFF2-40B4-BE49-F238E27FC236}">
              <a16:creationId xmlns:a16="http://schemas.microsoft.com/office/drawing/2014/main" id="{1D2A5552-F2B5-4116-8941-F9750FBB4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541020</xdr:colOff>
      <xdr:row>5</xdr:row>
      <xdr:rowOff>26670</xdr:rowOff>
    </xdr:from>
    <xdr:to>
      <xdr:col>17</xdr:col>
      <xdr:colOff>320040</xdr:colOff>
      <xdr:row>29</xdr:row>
      <xdr:rowOff>76200</xdr:rowOff>
    </xdr:to>
    <xdr:graphicFrame macro="">
      <xdr:nvGraphicFramePr>
        <xdr:cNvPr id="2" name="Chart 1">
          <a:extLst>
            <a:ext uri="{FF2B5EF4-FFF2-40B4-BE49-F238E27FC236}">
              <a16:creationId xmlns:a16="http://schemas.microsoft.com/office/drawing/2014/main" id="{75FA3C15-D8D5-4CEC-8FDD-2A2EFAA27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274320</xdr:colOff>
      <xdr:row>14</xdr:row>
      <xdr:rowOff>76200</xdr:rowOff>
    </xdr:from>
    <xdr:to>
      <xdr:col>14</xdr:col>
      <xdr:colOff>22860</xdr:colOff>
      <xdr:row>40</xdr:row>
      <xdr:rowOff>76200</xdr:rowOff>
    </xdr:to>
    <xdr:graphicFrame macro="">
      <xdr:nvGraphicFramePr>
        <xdr:cNvPr id="2" name="Chart 1">
          <a:extLst>
            <a:ext uri="{FF2B5EF4-FFF2-40B4-BE49-F238E27FC236}">
              <a16:creationId xmlns:a16="http://schemas.microsoft.com/office/drawing/2014/main" id="{6109370B-A647-4E6D-A14E-CD1695C46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0"/>
  <sheetViews>
    <sheetView showGridLines="0" topLeftCell="J1" zoomScale="102" zoomScaleNormal="102" workbookViewId="0">
      <pane ySplit="5" topLeftCell="A192" activePane="bottomLeft" state="frozen"/>
      <selection pane="bottomLeft" activeCell="V201" sqref="V201"/>
    </sheetView>
  </sheetViews>
  <sheetFormatPr defaultColWidth="15.109375" defaultRowHeight="15" customHeight="1" x14ac:dyDescent="0.3"/>
  <cols>
    <col min="1" max="1" width="2" style="11" customWidth="1"/>
    <col min="2" max="2" width="4.5546875" style="11" customWidth="1"/>
    <col min="3" max="3" width="7.33203125" style="11" bestFit="1" customWidth="1"/>
    <col min="4" max="4" width="10.109375" style="11" customWidth="1"/>
    <col min="5" max="5" width="11.44140625" style="14" bestFit="1" customWidth="1"/>
    <col min="6" max="6" width="13.88671875" style="11" bestFit="1" customWidth="1"/>
    <col min="7" max="7" width="10.21875" style="11" bestFit="1" customWidth="1"/>
    <col min="8" max="8" width="8.109375" style="11" bestFit="1" customWidth="1"/>
    <col min="9" max="9" width="10.77734375" style="11" bestFit="1" customWidth="1"/>
    <col min="10" max="10" width="5.77734375" style="11" bestFit="1" customWidth="1"/>
    <col min="11" max="11" width="2" style="11" customWidth="1"/>
    <col min="12" max="12" width="10.21875" style="14" customWidth="1"/>
    <col min="13" max="13" width="7.33203125" style="23" bestFit="1" customWidth="1"/>
    <col min="14" max="15" width="9.5546875" style="11" bestFit="1" customWidth="1"/>
    <col min="16" max="16" width="19.44140625" style="14" bestFit="1" customWidth="1"/>
    <col min="17" max="17" width="6.77734375" style="14" bestFit="1" customWidth="1"/>
    <col min="18" max="18" width="4.33203125" style="14" bestFit="1" customWidth="1"/>
    <col min="19" max="20" width="2.5546875" style="14" hidden="1" customWidth="1"/>
    <col min="21" max="21" width="6.77734375" style="20" bestFit="1" customWidth="1"/>
    <col min="22" max="22" width="7.44140625" style="20" bestFit="1" customWidth="1"/>
    <col min="23" max="23" width="8" style="20" bestFit="1" customWidth="1"/>
    <col min="24" max="24" width="8.6640625" style="20" bestFit="1" customWidth="1"/>
    <col min="25" max="25" width="13.88671875" style="20" bestFit="1" customWidth="1"/>
    <col min="26" max="26" width="8.33203125" style="20" bestFit="1" customWidth="1"/>
    <col min="27" max="27" width="6.44140625" style="20" bestFit="1" customWidth="1"/>
    <col min="28" max="16384" width="15.109375" style="11"/>
  </cols>
  <sheetData>
    <row r="1" spans="2:27" ht="15.6" x14ac:dyDescent="0.3">
      <c r="B1" s="19" t="s">
        <v>527</v>
      </c>
      <c r="M1" s="14"/>
      <c r="W1" s="14"/>
    </row>
    <row r="2" spans="2:27" ht="12" x14ac:dyDescent="0.3">
      <c r="B2" s="21" t="s">
        <v>181</v>
      </c>
      <c r="M2" s="14"/>
      <c r="W2" s="14"/>
    </row>
    <row r="3" spans="2:27" ht="12" x14ac:dyDescent="0.3">
      <c r="B3" s="21"/>
      <c r="M3" s="14"/>
      <c r="W3" s="14"/>
    </row>
    <row r="4" spans="2:27" ht="15" customHeight="1" x14ac:dyDescent="0.3">
      <c r="B4" s="54" t="s">
        <v>528</v>
      </c>
      <c r="C4" s="54"/>
      <c r="D4" s="54"/>
      <c r="E4" s="54"/>
      <c r="F4" s="54"/>
      <c r="G4" s="54"/>
      <c r="H4" s="54"/>
      <c r="I4" s="54"/>
      <c r="J4" s="54"/>
      <c r="L4" s="54" t="s">
        <v>529</v>
      </c>
      <c r="M4" s="54"/>
      <c r="N4" s="54"/>
      <c r="O4" s="54"/>
      <c r="P4" s="54"/>
      <c r="Q4" s="54"/>
      <c r="R4" s="54"/>
      <c r="S4" s="54"/>
      <c r="T4" s="54"/>
      <c r="U4" s="54"/>
      <c r="V4" s="54"/>
      <c r="W4" s="54"/>
      <c r="X4" s="54"/>
      <c r="Y4" s="54"/>
      <c r="Z4" s="54"/>
      <c r="AA4" s="54"/>
    </row>
    <row r="5" spans="2:27" ht="13.8" customHeight="1" thickBot="1" x14ac:dyDescent="0.35">
      <c r="B5" s="35" t="s">
        <v>178</v>
      </c>
      <c r="C5" s="35" t="s">
        <v>532</v>
      </c>
      <c r="D5" s="35" t="s">
        <v>26</v>
      </c>
      <c r="E5" s="35" t="s">
        <v>27</v>
      </c>
      <c r="F5" s="35" t="s">
        <v>520</v>
      </c>
      <c r="G5" s="35" t="s">
        <v>530</v>
      </c>
      <c r="H5" s="35" t="s">
        <v>2</v>
      </c>
      <c r="I5" s="35" t="s">
        <v>519</v>
      </c>
      <c r="J5" s="35" t="s">
        <v>3</v>
      </c>
      <c r="K5" s="35"/>
      <c r="L5" s="35" t="s">
        <v>28</v>
      </c>
      <c r="M5" s="35" t="s">
        <v>521</v>
      </c>
      <c r="N5" s="35" t="s">
        <v>22</v>
      </c>
      <c r="O5" s="35" t="s">
        <v>23</v>
      </c>
      <c r="P5" s="35" t="s">
        <v>522</v>
      </c>
      <c r="Q5" s="35" t="s">
        <v>523</v>
      </c>
      <c r="R5" s="35" t="s">
        <v>174</v>
      </c>
      <c r="S5" s="35" t="s">
        <v>175</v>
      </c>
      <c r="T5" s="35" t="s">
        <v>176</v>
      </c>
      <c r="U5" s="35" t="s">
        <v>24</v>
      </c>
      <c r="V5" s="35" t="s">
        <v>25</v>
      </c>
      <c r="W5" s="35" t="s">
        <v>12</v>
      </c>
      <c r="X5" s="35" t="s">
        <v>40</v>
      </c>
      <c r="Y5" s="35" t="s">
        <v>524</v>
      </c>
      <c r="Z5" s="35" t="s">
        <v>37</v>
      </c>
      <c r="AA5" s="35" t="s">
        <v>38</v>
      </c>
    </row>
    <row r="6" spans="2:27" ht="14.25" customHeight="1" x14ac:dyDescent="0.3">
      <c r="B6" s="34">
        <f t="shared" ref="B6:B37" si="0">C6*1000+G6</f>
        <v>1030</v>
      </c>
      <c r="C6" s="4">
        <v>1</v>
      </c>
      <c r="D6" s="4">
        <v>2005</v>
      </c>
      <c r="E6" s="4">
        <v>11</v>
      </c>
      <c r="F6" s="3" t="s">
        <v>1</v>
      </c>
      <c r="G6" s="5">
        <v>30</v>
      </c>
      <c r="H6" s="7">
        <v>743.0856</v>
      </c>
      <c r="I6" s="22">
        <v>246172.67600000001</v>
      </c>
      <c r="J6" s="22" t="s">
        <v>4</v>
      </c>
      <c r="K6" s="22"/>
      <c r="L6" s="3" t="s">
        <v>62</v>
      </c>
      <c r="M6" s="3" t="s">
        <v>179</v>
      </c>
      <c r="N6" s="11" t="s">
        <v>225</v>
      </c>
      <c r="O6" s="11" t="s">
        <v>226</v>
      </c>
      <c r="P6" s="4">
        <f>D6-R6</f>
        <v>19</v>
      </c>
      <c r="Q6" s="4" t="str">
        <f t="shared" ref="Q6:Q37" si="1">IF(P6&lt;26,"18-25",IF(P6&lt;36,"26-35",IF(P6&lt;46,"36-45",IF(P6&lt;56,"46-55",IF(P6&lt;66,"56-65","65+")))))</f>
        <v>18-25</v>
      </c>
      <c r="R6" s="11">
        <v>1986</v>
      </c>
      <c r="S6" s="4">
        <v>6</v>
      </c>
      <c r="T6" s="4">
        <v>21</v>
      </c>
      <c r="U6" s="3" t="s">
        <v>177</v>
      </c>
      <c r="V6" s="3" t="s">
        <v>5</v>
      </c>
      <c r="W6" s="3" t="s">
        <v>13</v>
      </c>
      <c r="X6" s="3" t="s">
        <v>33</v>
      </c>
      <c r="Y6" s="4">
        <v>5</v>
      </c>
      <c r="Z6" s="3" t="s">
        <v>35</v>
      </c>
      <c r="AA6" s="3" t="s">
        <v>525</v>
      </c>
    </row>
    <row r="7" spans="2:27" ht="14.25" customHeight="1" x14ac:dyDescent="0.3">
      <c r="B7" s="34">
        <f t="shared" si="0"/>
        <v>1029</v>
      </c>
      <c r="C7" s="4">
        <v>1</v>
      </c>
      <c r="D7" s="4">
        <v>2005</v>
      </c>
      <c r="E7" s="4">
        <v>10</v>
      </c>
      <c r="F7" s="3" t="s">
        <v>1</v>
      </c>
      <c r="G7" s="5">
        <v>29</v>
      </c>
      <c r="H7" s="7">
        <v>756.21280000000002</v>
      </c>
      <c r="I7" s="22">
        <v>246331.90400000001</v>
      </c>
      <c r="J7" s="22" t="s">
        <v>4</v>
      </c>
      <c r="K7" s="22"/>
      <c r="L7" s="3" t="s">
        <v>61</v>
      </c>
      <c r="M7" s="3" t="s">
        <v>179</v>
      </c>
      <c r="N7" s="11" t="s">
        <v>221</v>
      </c>
      <c r="O7" s="11" t="s">
        <v>222</v>
      </c>
      <c r="P7" s="4">
        <f t="shared" ref="P7" si="2">IF((D7-R7)=0," ",D7-R7)</f>
        <v>22</v>
      </c>
      <c r="Q7" s="4" t="str">
        <f t="shared" si="1"/>
        <v>18-25</v>
      </c>
      <c r="R7" s="11">
        <v>1983</v>
      </c>
      <c r="S7" s="4">
        <v>2</v>
      </c>
      <c r="T7" s="4">
        <v>23.999999999999996</v>
      </c>
      <c r="U7" s="3" t="s">
        <v>177</v>
      </c>
      <c r="V7" s="3" t="s">
        <v>5</v>
      </c>
      <c r="W7" s="3" t="s">
        <v>13</v>
      </c>
      <c r="X7" s="3" t="s">
        <v>33</v>
      </c>
      <c r="Y7" s="4">
        <v>5</v>
      </c>
      <c r="Z7" s="3" t="s">
        <v>35</v>
      </c>
      <c r="AA7" s="3" t="s">
        <v>525</v>
      </c>
    </row>
    <row r="8" spans="2:27" ht="14.25" customHeight="1" x14ac:dyDescent="0.3">
      <c r="B8" s="34">
        <f t="shared" si="0"/>
        <v>2002</v>
      </c>
      <c r="C8" s="4">
        <v>2</v>
      </c>
      <c r="D8" s="4">
        <v>2007</v>
      </c>
      <c r="E8" s="4">
        <v>7</v>
      </c>
      <c r="F8" s="3" t="s">
        <v>1</v>
      </c>
      <c r="G8" s="5">
        <v>2</v>
      </c>
      <c r="H8" s="7">
        <v>587.2808</v>
      </c>
      <c r="I8" s="22">
        <v>209280.91039999999</v>
      </c>
      <c r="J8" s="22" t="s">
        <v>4</v>
      </c>
      <c r="K8" s="22"/>
      <c r="L8" s="3" t="s">
        <v>132</v>
      </c>
      <c r="M8" s="3" t="s">
        <v>179</v>
      </c>
      <c r="N8" s="9" t="s">
        <v>329</v>
      </c>
      <c r="O8" s="10" t="s">
        <v>330</v>
      </c>
      <c r="P8" s="4">
        <f t="shared" ref="P8" si="3">IF((D8-R8)=0," ",D8-R8)</f>
        <v>22</v>
      </c>
      <c r="Q8" s="4" t="str">
        <f t="shared" si="1"/>
        <v>18-25</v>
      </c>
      <c r="R8" s="11">
        <v>1985</v>
      </c>
      <c r="S8" s="4">
        <v>12</v>
      </c>
      <c r="T8" s="4">
        <v>27</v>
      </c>
      <c r="U8" s="3" t="s">
        <v>175</v>
      </c>
      <c r="V8" s="3" t="s">
        <v>5</v>
      </c>
      <c r="W8" s="3" t="s">
        <v>13</v>
      </c>
      <c r="X8" s="3" t="s">
        <v>33</v>
      </c>
      <c r="Y8" s="4">
        <v>1</v>
      </c>
      <c r="Z8" s="3" t="s">
        <v>36</v>
      </c>
      <c r="AA8" s="3" t="s">
        <v>182</v>
      </c>
    </row>
    <row r="9" spans="2:27" ht="14.25" customHeight="1" x14ac:dyDescent="0.3">
      <c r="B9" s="34">
        <f t="shared" si="0"/>
        <v>2031</v>
      </c>
      <c r="C9" s="4">
        <v>2</v>
      </c>
      <c r="D9" s="4">
        <v>2007</v>
      </c>
      <c r="E9" s="4">
        <v>12</v>
      </c>
      <c r="F9" s="3" t="s">
        <v>1</v>
      </c>
      <c r="G9" s="5">
        <v>31</v>
      </c>
      <c r="H9" s="7">
        <v>1604.7463999999998</v>
      </c>
      <c r="I9" s="22">
        <v>452667.00639999995</v>
      </c>
      <c r="J9" s="22" t="s">
        <v>4</v>
      </c>
      <c r="K9" s="22"/>
      <c r="L9" s="3" t="s">
        <v>163</v>
      </c>
      <c r="M9" s="3" t="s">
        <v>179</v>
      </c>
      <c r="N9" s="9" t="s">
        <v>473</v>
      </c>
      <c r="O9" s="10" t="s">
        <v>474</v>
      </c>
      <c r="P9" s="4">
        <f t="shared" ref="P9:P15" si="4">IF((D9-R9)=0," ",D9-R9)</f>
        <v>22</v>
      </c>
      <c r="Q9" s="4" t="str">
        <f t="shared" si="1"/>
        <v>18-25</v>
      </c>
      <c r="R9" s="11">
        <v>1985</v>
      </c>
      <c r="S9" s="4">
        <v>12</v>
      </c>
      <c r="T9" s="4">
        <v>27</v>
      </c>
      <c r="U9" s="3" t="s">
        <v>175</v>
      </c>
      <c r="V9" s="3" t="s">
        <v>5</v>
      </c>
      <c r="W9" s="3" t="s">
        <v>13</v>
      </c>
      <c r="X9" s="3" t="s">
        <v>34</v>
      </c>
      <c r="Y9" s="4">
        <v>3</v>
      </c>
      <c r="Z9" s="3" t="s">
        <v>36</v>
      </c>
      <c r="AA9" s="3" t="s">
        <v>525</v>
      </c>
    </row>
    <row r="10" spans="2:27" ht="14.25" customHeight="1" x14ac:dyDescent="0.3">
      <c r="B10" s="34">
        <f t="shared" si="0"/>
        <v>1049</v>
      </c>
      <c r="C10" s="4">
        <v>1</v>
      </c>
      <c r="D10" s="4">
        <v>2004</v>
      </c>
      <c r="E10" s="4">
        <v>11</v>
      </c>
      <c r="F10" s="3" t="s">
        <v>1</v>
      </c>
      <c r="G10" s="5">
        <v>49</v>
      </c>
      <c r="H10" s="7">
        <v>1375.4507999999998</v>
      </c>
      <c r="I10" s="22">
        <v>467083.31319999998</v>
      </c>
      <c r="J10" s="22" t="s">
        <v>4</v>
      </c>
      <c r="K10" s="22"/>
      <c r="L10" s="3" t="s">
        <v>49</v>
      </c>
      <c r="M10" s="3" t="s">
        <v>179</v>
      </c>
      <c r="N10" s="9" t="s">
        <v>212</v>
      </c>
      <c r="O10" s="10" t="s">
        <v>213</v>
      </c>
      <c r="P10" s="4">
        <f t="shared" si="4"/>
        <v>25</v>
      </c>
      <c r="Q10" s="4" t="str">
        <f t="shared" si="1"/>
        <v>18-25</v>
      </c>
      <c r="R10" s="11">
        <v>1979</v>
      </c>
      <c r="S10" s="4">
        <v>5</v>
      </c>
      <c r="T10" s="4">
        <v>15</v>
      </c>
      <c r="U10" s="3" t="s">
        <v>177</v>
      </c>
      <c r="V10" s="3" t="s">
        <v>5</v>
      </c>
      <c r="W10" s="3" t="s">
        <v>13</v>
      </c>
      <c r="X10" s="3" t="s">
        <v>33</v>
      </c>
      <c r="Y10" s="4">
        <v>4</v>
      </c>
      <c r="Z10" s="3" t="s">
        <v>35</v>
      </c>
      <c r="AA10" s="3" t="s">
        <v>39</v>
      </c>
    </row>
    <row r="11" spans="2:27" ht="14.25" customHeight="1" x14ac:dyDescent="0.3">
      <c r="B11" s="34">
        <f t="shared" si="0"/>
        <v>3011</v>
      </c>
      <c r="C11" s="4">
        <v>3</v>
      </c>
      <c r="D11" s="4">
        <v>2007</v>
      </c>
      <c r="E11" s="12">
        <v>9</v>
      </c>
      <c r="F11" s="3" t="s">
        <v>1</v>
      </c>
      <c r="G11" s="4">
        <v>11</v>
      </c>
      <c r="H11" s="7">
        <v>675.18999999999994</v>
      </c>
      <c r="I11" s="22">
        <v>203491.84999999998</v>
      </c>
      <c r="J11" s="22" t="s">
        <v>4</v>
      </c>
      <c r="K11" s="22"/>
      <c r="L11" s="3" t="s">
        <v>142</v>
      </c>
      <c r="M11" s="3" t="s">
        <v>179</v>
      </c>
      <c r="N11" s="9" t="s">
        <v>416</v>
      </c>
      <c r="O11" s="10" t="s">
        <v>417</v>
      </c>
      <c r="P11" s="4">
        <f t="shared" si="4"/>
        <v>26</v>
      </c>
      <c r="Q11" s="4" t="str">
        <f t="shared" si="1"/>
        <v>26-35</v>
      </c>
      <c r="R11" s="11">
        <v>1981</v>
      </c>
      <c r="S11" s="4">
        <v>12</v>
      </c>
      <c r="T11" s="4">
        <v>26</v>
      </c>
      <c r="U11" s="3" t="s">
        <v>177</v>
      </c>
      <c r="V11" s="3" t="s">
        <v>5</v>
      </c>
      <c r="W11" s="3" t="s">
        <v>16</v>
      </c>
      <c r="X11" s="3" t="s">
        <v>34</v>
      </c>
      <c r="Y11" s="4">
        <v>5</v>
      </c>
      <c r="Z11" s="3" t="s">
        <v>35</v>
      </c>
      <c r="AA11" s="3" t="s">
        <v>182</v>
      </c>
    </row>
    <row r="12" spans="2:27" ht="14.25" customHeight="1" x14ac:dyDescent="0.3">
      <c r="B12" s="34">
        <f t="shared" si="0"/>
        <v>3026</v>
      </c>
      <c r="C12" s="4">
        <v>3</v>
      </c>
      <c r="D12" s="4">
        <v>2007</v>
      </c>
      <c r="E12" s="12">
        <v>9</v>
      </c>
      <c r="F12" s="3" t="s">
        <v>1</v>
      </c>
      <c r="G12" s="4">
        <v>26</v>
      </c>
      <c r="H12" s="7">
        <v>670.88599999999997</v>
      </c>
      <c r="I12" s="22">
        <v>212520.826</v>
      </c>
      <c r="J12" s="22" t="s">
        <v>4</v>
      </c>
      <c r="K12" s="22"/>
      <c r="L12" s="3" t="s">
        <v>142</v>
      </c>
      <c r="M12" s="3" t="s">
        <v>179</v>
      </c>
      <c r="N12" s="9" t="s">
        <v>416</v>
      </c>
      <c r="O12" s="10" t="s">
        <v>417</v>
      </c>
      <c r="P12" s="4">
        <f t="shared" si="4"/>
        <v>26</v>
      </c>
      <c r="Q12" s="4" t="str">
        <f t="shared" si="1"/>
        <v>26-35</v>
      </c>
      <c r="R12" s="11">
        <v>1981</v>
      </c>
      <c r="S12" s="4">
        <v>12</v>
      </c>
      <c r="T12" s="4">
        <v>26</v>
      </c>
      <c r="U12" s="3" t="s">
        <v>177</v>
      </c>
      <c r="V12" s="3" t="s">
        <v>5</v>
      </c>
      <c r="W12" s="3" t="s">
        <v>16</v>
      </c>
      <c r="X12" s="3" t="s">
        <v>34</v>
      </c>
      <c r="Y12" s="4">
        <v>5</v>
      </c>
      <c r="Z12" s="3" t="s">
        <v>35</v>
      </c>
      <c r="AA12" s="3" t="s">
        <v>39</v>
      </c>
    </row>
    <row r="13" spans="2:27" ht="14.25" customHeight="1" x14ac:dyDescent="0.3">
      <c r="B13" s="34">
        <f t="shared" si="0"/>
        <v>3023</v>
      </c>
      <c r="C13" s="4">
        <v>3</v>
      </c>
      <c r="D13" s="4">
        <v>2008</v>
      </c>
      <c r="E13" s="12">
        <v>1</v>
      </c>
      <c r="F13" s="3" t="s">
        <v>1</v>
      </c>
      <c r="G13" s="4">
        <v>23</v>
      </c>
      <c r="H13" s="7">
        <v>720.81239999999991</v>
      </c>
      <c r="I13" s="22">
        <v>198591.84879999998</v>
      </c>
      <c r="J13" s="22" t="s">
        <v>4</v>
      </c>
      <c r="K13" s="22"/>
      <c r="L13" s="3" t="s">
        <v>168</v>
      </c>
      <c r="M13" s="3" t="s">
        <v>179</v>
      </c>
      <c r="N13" s="9" t="s">
        <v>292</v>
      </c>
      <c r="O13" s="10" t="s">
        <v>293</v>
      </c>
      <c r="P13" s="4">
        <f t="shared" si="4"/>
        <v>26</v>
      </c>
      <c r="Q13" s="4" t="str">
        <f t="shared" si="1"/>
        <v>26-35</v>
      </c>
      <c r="R13" s="11">
        <v>1982</v>
      </c>
      <c r="S13" s="4">
        <v>5</v>
      </c>
      <c r="T13" s="4">
        <v>27</v>
      </c>
      <c r="U13" s="3" t="s">
        <v>175</v>
      </c>
      <c r="V13" s="3" t="s">
        <v>5</v>
      </c>
      <c r="W13" s="3" t="s">
        <v>13</v>
      </c>
      <c r="X13" s="3" t="s">
        <v>33</v>
      </c>
      <c r="Y13" s="4">
        <v>5</v>
      </c>
      <c r="Z13" s="3" t="s">
        <v>35</v>
      </c>
      <c r="AA13" s="3" t="s">
        <v>182</v>
      </c>
    </row>
    <row r="14" spans="2:27" ht="14.25" customHeight="1" x14ac:dyDescent="0.3">
      <c r="B14" s="34">
        <f t="shared" si="0"/>
        <v>1031</v>
      </c>
      <c r="C14" s="4">
        <v>1</v>
      </c>
      <c r="D14" s="4">
        <v>2006</v>
      </c>
      <c r="E14" s="4">
        <v>6</v>
      </c>
      <c r="F14" s="3" t="s">
        <v>1</v>
      </c>
      <c r="G14" s="5">
        <v>31</v>
      </c>
      <c r="H14" s="7">
        <v>782.25200000000007</v>
      </c>
      <c r="I14" s="22">
        <v>265467.68000000005</v>
      </c>
      <c r="J14" s="22" t="s">
        <v>4</v>
      </c>
      <c r="K14" s="22"/>
      <c r="L14" s="3" t="s">
        <v>68</v>
      </c>
      <c r="M14" s="3" t="s">
        <v>179</v>
      </c>
      <c r="N14" s="9" t="s">
        <v>240</v>
      </c>
      <c r="O14" s="10" t="s">
        <v>241</v>
      </c>
      <c r="P14" s="4">
        <f t="shared" si="4"/>
        <v>27</v>
      </c>
      <c r="Q14" s="4" t="str">
        <f t="shared" si="1"/>
        <v>26-35</v>
      </c>
      <c r="R14" s="11">
        <v>1979</v>
      </c>
      <c r="S14" s="4">
        <v>6</v>
      </c>
      <c r="T14" s="4">
        <v>27</v>
      </c>
      <c r="U14" s="3" t="s">
        <v>175</v>
      </c>
      <c r="V14" s="3" t="s">
        <v>5</v>
      </c>
      <c r="W14" s="3" t="s">
        <v>15</v>
      </c>
      <c r="X14" s="3" t="s">
        <v>33</v>
      </c>
      <c r="Y14" s="4">
        <v>2</v>
      </c>
      <c r="Z14" s="3" t="s">
        <v>36</v>
      </c>
      <c r="AA14" s="3" t="s">
        <v>525</v>
      </c>
    </row>
    <row r="15" spans="2:27" ht="14.25" customHeight="1" x14ac:dyDescent="0.3">
      <c r="B15" s="34">
        <f t="shared" si="0"/>
        <v>4023</v>
      </c>
      <c r="C15" s="4">
        <v>4</v>
      </c>
      <c r="D15" s="4">
        <v>2006</v>
      </c>
      <c r="E15" s="4">
        <v>3</v>
      </c>
      <c r="F15" s="3" t="s">
        <v>1</v>
      </c>
      <c r="G15" s="5">
        <v>23</v>
      </c>
      <c r="H15" s="7">
        <v>794.51840000000004</v>
      </c>
      <c r="I15" s="22">
        <v>235633.2592</v>
      </c>
      <c r="J15" s="22" t="s">
        <v>4</v>
      </c>
      <c r="K15" s="22"/>
      <c r="L15" s="3" t="s">
        <v>512</v>
      </c>
      <c r="M15" s="3" t="s">
        <v>179</v>
      </c>
      <c r="N15" s="9" t="s">
        <v>250</v>
      </c>
      <c r="O15" s="10" t="s">
        <v>251</v>
      </c>
      <c r="P15" s="4">
        <f t="shared" si="4"/>
        <v>27</v>
      </c>
      <c r="Q15" s="4" t="str">
        <f t="shared" si="1"/>
        <v>26-35</v>
      </c>
      <c r="R15" s="11">
        <v>1979</v>
      </c>
      <c r="S15" s="4">
        <v>12</v>
      </c>
      <c r="T15" s="4">
        <v>3</v>
      </c>
      <c r="U15" s="3" t="s">
        <v>177</v>
      </c>
      <c r="V15" s="3" t="s">
        <v>5</v>
      </c>
      <c r="W15" s="3" t="s">
        <v>16</v>
      </c>
      <c r="X15" s="3" t="s">
        <v>34</v>
      </c>
      <c r="Y15" s="4">
        <v>3</v>
      </c>
      <c r="Z15" s="3" t="s">
        <v>36</v>
      </c>
      <c r="AA15" s="3" t="s">
        <v>39</v>
      </c>
    </row>
    <row r="16" spans="2:27" ht="14.25" customHeight="1" x14ac:dyDescent="0.3">
      <c r="B16" s="34">
        <f t="shared" si="0"/>
        <v>1036</v>
      </c>
      <c r="C16" s="4">
        <v>1</v>
      </c>
      <c r="D16" s="4">
        <v>2004</v>
      </c>
      <c r="E16" s="4">
        <v>10</v>
      </c>
      <c r="F16" s="3" t="s">
        <v>1</v>
      </c>
      <c r="G16" s="5">
        <v>36</v>
      </c>
      <c r="H16" s="7">
        <v>1160.3584000000001</v>
      </c>
      <c r="I16" s="22">
        <v>317473.86080000002</v>
      </c>
      <c r="J16" s="22" t="s">
        <v>4</v>
      </c>
      <c r="K16" s="22"/>
      <c r="L16" s="3" t="s">
        <v>44</v>
      </c>
      <c r="M16" s="3" t="s">
        <v>179</v>
      </c>
      <c r="N16" s="9" t="s">
        <v>223</v>
      </c>
      <c r="O16" s="10" t="s">
        <v>224</v>
      </c>
      <c r="P16" s="4">
        <f t="shared" ref="P16:P30" si="5">IF((D16-R16)=0," ",D16-R16)</f>
        <v>28</v>
      </c>
      <c r="Q16" s="4" t="str">
        <f t="shared" si="1"/>
        <v>26-35</v>
      </c>
      <c r="R16" s="11">
        <v>1976</v>
      </c>
      <c r="S16" s="4">
        <v>8</v>
      </c>
      <c r="T16" s="4">
        <v>17</v>
      </c>
      <c r="U16" s="3" t="s">
        <v>177</v>
      </c>
      <c r="V16" s="3" t="s">
        <v>5</v>
      </c>
      <c r="W16" s="3" t="s">
        <v>18</v>
      </c>
      <c r="X16" s="3" t="s">
        <v>33</v>
      </c>
      <c r="Y16" s="4">
        <v>1</v>
      </c>
      <c r="Z16" s="3" t="s">
        <v>35</v>
      </c>
      <c r="AA16" s="3" t="s">
        <v>39</v>
      </c>
    </row>
    <row r="17" spans="2:27" ht="14.25" customHeight="1" x14ac:dyDescent="0.3">
      <c r="B17" s="34">
        <f t="shared" si="0"/>
        <v>1046</v>
      </c>
      <c r="C17" s="4">
        <v>1</v>
      </c>
      <c r="D17" s="4">
        <v>2006</v>
      </c>
      <c r="E17" s="4">
        <v>8</v>
      </c>
      <c r="F17" s="3" t="s">
        <v>1</v>
      </c>
      <c r="G17" s="5">
        <v>46</v>
      </c>
      <c r="H17" s="7">
        <v>1942.5028</v>
      </c>
      <c r="I17" s="22">
        <v>503790.23080000002</v>
      </c>
      <c r="J17" s="22" t="s">
        <v>4</v>
      </c>
      <c r="K17" s="22"/>
      <c r="L17" s="3" t="s">
        <v>75</v>
      </c>
      <c r="M17" s="3" t="s">
        <v>179</v>
      </c>
      <c r="N17" s="9" t="s">
        <v>286</v>
      </c>
      <c r="O17" s="10" t="s">
        <v>287</v>
      </c>
      <c r="P17" s="4">
        <f t="shared" si="5"/>
        <v>26</v>
      </c>
      <c r="Q17" s="4" t="str">
        <f t="shared" si="1"/>
        <v>26-35</v>
      </c>
      <c r="R17" s="11">
        <v>1980</v>
      </c>
      <c r="S17" s="4">
        <v>9</v>
      </c>
      <c r="T17" s="4">
        <v>14</v>
      </c>
      <c r="U17" s="3" t="s">
        <v>175</v>
      </c>
      <c r="V17" s="3" t="s">
        <v>5</v>
      </c>
      <c r="W17" s="3" t="s">
        <v>13</v>
      </c>
      <c r="X17" s="3" t="s">
        <v>33</v>
      </c>
      <c r="Y17" s="4">
        <v>5</v>
      </c>
      <c r="Z17" s="3" t="s">
        <v>35</v>
      </c>
      <c r="AA17" s="3" t="s">
        <v>525</v>
      </c>
    </row>
    <row r="18" spans="2:27" ht="14.25" customHeight="1" x14ac:dyDescent="0.3">
      <c r="B18" s="34">
        <f t="shared" si="0"/>
        <v>4035</v>
      </c>
      <c r="C18" s="4">
        <v>4</v>
      </c>
      <c r="D18" s="4">
        <v>2007</v>
      </c>
      <c r="E18" s="4">
        <v>10</v>
      </c>
      <c r="F18" s="3" t="s">
        <v>1</v>
      </c>
      <c r="G18" s="5">
        <v>35</v>
      </c>
      <c r="H18" s="7">
        <v>794.51840000000004</v>
      </c>
      <c r="I18" s="22">
        <v>217786.37600000002</v>
      </c>
      <c r="J18" s="22" t="s">
        <v>4</v>
      </c>
      <c r="K18" s="22"/>
      <c r="L18" s="3" t="s">
        <v>488</v>
      </c>
      <c r="M18" s="3" t="s">
        <v>179</v>
      </c>
      <c r="N18" s="9" t="s">
        <v>314</v>
      </c>
      <c r="O18" s="10" t="s">
        <v>315</v>
      </c>
      <c r="P18" s="4">
        <f t="shared" si="5"/>
        <v>29</v>
      </c>
      <c r="Q18" s="4" t="str">
        <f t="shared" si="1"/>
        <v>26-35</v>
      </c>
      <c r="R18" s="11">
        <v>1978</v>
      </c>
      <c r="S18" s="4">
        <v>6</v>
      </c>
      <c r="T18" s="4">
        <v>4</v>
      </c>
      <c r="U18" s="3" t="s">
        <v>177</v>
      </c>
      <c r="V18" s="3" t="s">
        <v>5</v>
      </c>
      <c r="W18" s="3" t="s">
        <v>14</v>
      </c>
      <c r="X18" s="3" t="s">
        <v>33</v>
      </c>
      <c r="Y18" s="4">
        <v>3</v>
      </c>
      <c r="Z18" s="3" t="s">
        <v>36</v>
      </c>
      <c r="AA18" s="3" t="s">
        <v>525</v>
      </c>
    </row>
    <row r="19" spans="2:27" ht="14.25" customHeight="1" x14ac:dyDescent="0.3">
      <c r="B19" s="34">
        <f t="shared" si="0"/>
        <v>2036</v>
      </c>
      <c r="C19" s="4">
        <v>2</v>
      </c>
      <c r="D19" s="4">
        <v>2006</v>
      </c>
      <c r="E19" s="4">
        <v>11</v>
      </c>
      <c r="F19" s="3" t="s">
        <v>1</v>
      </c>
      <c r="G19" s="5">
        <v>36</v>
      </c>
      <c r="H19" s="7">
        <v>1109.2483999999999</v>
      </c>
      <c r="I19" s="22">
        <v>460001.25599999994</v>
      </c>
      <c r="J19" s="22" t="s">
        <v>4</v>
      </c>
      <c r="K19" s="22"/>
      <c r="L19" s="3" t="s">
        <v>91</v>
      </c>
      <c r="M19" s="3" t="s">
        <v>179</v>
      </c>
      <c r="N19" s="9" t="s">
        <v>294</v>
      </c>
      <c r="O19" s="10" t="s">
        <v>295</v>
      </c>
      <c r="P19" s="4">
        <f t="shared" si="5"/>
        <v>29</v>
      </c>
      <c r="Q19" s="4" t="str">
        <f t="shared" si="1"/>
        <v>26-35</v>
      </c>
      <c r="R19" s="11">
        <v>1977</v>
      </c>
      <c r="S19" s="4">
        <v>6</v>
      </c>
      <c r="T19" s="4">
        <v>10</v>
      </c>
      <c r="U19" s="3" t="s">
        <v>175</v>
      </c>
      <c r="V19" s="3" t="s">
        <v>5</v>
      </c>
      <c r="W19" s="3" t="s">
        <v>13</v>
      </c>
      <c r="X19" s="3" t="s">
        <v>33</v>
      </c>
      <c r="Y19" s="4">
        <v>2</v>
      </c>
      <c r="Z19" s="3" t="s">
        <v>35</v>
      </c>
      <c r="AA19" s="3" t="s">
        <v>525</v>
      </c>
    </row>
    <row r="20" spans="2:27" ht="14.25" customHeight="1" x14ac:dyDescent="0.3">
      <c r="B20" s="34">
        <f t="shared" si="0"/>
        <v>2056</v>
      </c>
      <c r="C20" s="4">
        <v>2</v>
      </c>
      <c r="D20" s="4">
        <v>2007</v>
      </c>
      <c r="E20" s="4">
        <v>4</v>
      </c>
      <c r="F20" s="3" t="s">
        <v>1</v>
      </c>
      <c r="G20" s="5">
        <v>56</v>
      </c>
      <c r="H20" s="7">
        <v>1400.9519999999998</v>
      </c>
      <c r="I20" s="22">
        <v>460001.25599999994</v>
      </c>
      <c r="J20" s="22" t="s">
        <v>4</v>
      </c>
      <c r="K20" s="22"/>
      <c r="L20" s="3" t="s">
        <v>116</v>
      </c>
      <c r="M20" s="3" t="s">
        <v>179</v>
      </c>
      <c r="N20" s="9" t="s">
        <v>383</v>
      </c>
      <c r="O20" s="10" t="s">
        <v>384</v>
      </c>
      <c r="P20" s="4">
        <f t="shared" si="5"/>
        <v>29</v>
      </c>
      <c r="Q20" s="4" t="str">
        <f t="shared" si="1"/>
        <v>26-35</v>
      </c>
      <c r="R20" s="11">
        <v>1978</v>
      </c>
      <c r="S20" s="4">
        <v>12</v>
      </c>
      <c r="T20" s="4">
        <v>2.9999999999999996</v>
      </c>
      <c r="U20" s="3" t="s">
        <v>177</v>
      </c>
      <c r="V20" s="3" t="s">
        <v>5</v>
      </c>
      <c r="W20" s="3" t="s">
        <v>13</v>
      </c>
      <c r="X20" s="3" t="s">
        <v>33</v>
      </c>
      <c r="Y20" s="4">
        <v>5</v>
      </c>
      <c r="Z20" s="3" t="s">
        <v>35</v>
      </c>
      <c r="AA20" s="3" t="s">
        <v>39</v>
      </c>
    </row>
    <row r="21" spans="2:27" ht="14.25" customHeight="1" x14ac:dyDescent="0.3">
      <c r="B21" s="34">
        <f t="shared" si="0"/>
        <v>1047</v>
      </c>
      <c r="C21" s="4">
        <v>1</v>
      </c>
      <c r="D21" s="4">
        <v>2007</v>
      </c>
      <c r="E21" s="4">
        <v>12</v>
      </c>
      <c r="F21" s="3" t="s">
        <v>1</v>
      </c>
      <c r="G21" s="5">
        <v>47</v>
      </c>
      <c r="H21" s="7">
        <v>1479.7152000000001</v>
      </c>
      <c r="I21" s="22">
        <v>448134.26880000002</v>
      </c>
      <c r="J21" s="22" t="s">
        <v>4</v>
      </c>
      <c r="K21" s="22"/>
      <c r="L21" s="3" t="s">
        <v>162</v>
      </c>
      <c r="M21" s="3" t="s">
        <v>179</v>
      </c>
      <c r="N21" s="9" t="s">
        <v>254</v>
      </c>
      <c r="O21" s="10" t="s">
        <v>255</v>
      </c>
      <c r="P21" s="4">
        <f t="shared" si="5"/>
        <v>29</v>
      </c>
      <c r="Q21" s="4" t="str">
        <f t="shared" si="1"/>
        <v>26-35</v>
      </c>
      <c r="R21" s="11">
        <v>1978</v>
      </c>
      <c r="S21" s="4">
        <v>9</v>
      </c>
      <c r="T21" s="4">
        <v>14</v>
      </c>
      <c r="U21" s="3" t="s">
        <v>175</v>
      </c>
      <c r="V21" s="3" t="s">
        <v>5</v>
      </c>
      <c r="W21" s="3" t="s">
        <v>13</v>
      </c>
      <c r="X21" s="3" t="s">
        <v>33</v>
      </c>
      <c r="Y21" s="4">
        <v>5</v>
      </c>
      <c r="Z21" s="3" t="s">
        <v>35</v>
      </c>
      <c r="AA21" s="3" t="s">
        <v>525</v>
      </c>
    </row>
    <row r="22" spans="2:27" ht="14.25" customHeight="1" x14ac:dyDescent="0.3">
      <c r="B22" s="34">
        <f t="shared" si="0"/>
        <v>5051</v>
      </c>
      <c r="C22" s="4">
        <v>5</v>
      </c>
      <c r="D22" s="4">
        <v>2006</v>
      </c>
      <c r="E22" s="4">
        <v>3</v>
      </c>
      <c r="F22" s="3" t="s">
        <v>1</v>
      </c>
      <c r="G22" s="5">
        <v>51</v>
      </c>
      <c r="H22" s="7">
        <v>790.53719999999998</v>
      </c>
      <c r="I22" s="22">
        <v>249591.99479999999</v>
      </c>
      <c r="J22" s="22" t="s">
        <v>4</v>
      </c>
      <c r="K22" s="22"/>
      <c r="L22" s="3" t="s">
        <v>171</v>
      </c>
      <c r="M22" s="3" t="s">
        <v>179</v>
      </c>
      <c r="N22" s="9" t="s">
        <v>264</v>
      </c>
      <c r="O22" s="10" t="s">
        <v>265</v>
      </c>
      <c r="P22" s="4">
        <f t="shared" si="5"/>
        <v>29</v>
      </c>
      <c r="Q22" s="4" t="str">
        <f t="shared" si="1"/>
        <v>26-35</v>
      </c>
      <c r="R22" s="11">
        <v>1977</v>
      </c>
      <c r="S22" s="4">
        <v>12</v>
      </c>
      <c r="T22" s="4">
        <v>25</v>
      </c>
      <c r="U22" s="3" t="s">
        <v>175</v>
      </c>
      <c r="V22" s="3" t="s">
        <v>5</v>
      </c>
      <c r="W22" s="3" t="s">
        <v>14</v>
      </c>
      <c r="X22" s="3" t="s">
        <v>33</v>
      </c>
      <c r="Y22" s="4">
        <v>4</v>
      </c>
      <c r="Z22" s="3" t="s">
        <v>36</v>
      </c>
      <c r="AA22" s="3" t="s">
        <v>525</v>
      </c>
    </row>
    <row r="23" spans="2:27" ht="14.25" customHeight="1" x14ac:dyDescent="0.3">
      <c r="B23" s="34">
        <f t="shared" si="0"/>
        <v>2007</v>
      </c>
      <c r="C23" s="4">
        <v>2</v>
      </c>
      <c r="D23" s="4">
        <v>2006</v>
      </c>
      <c r="E23" s="4">
        <v>8</v>
      </c>
      <c r="F23" s="3" t="s">
        <v>1</v>
      </c>
      <c r="G23" s="5">
        <v>7</v>
      </c>
      <c r="H23" s="7">
        <v>723.93280000000004</v>
      </c>
      <c r="I23" s="22">
        <v>196142.19200000001</v>
      </c>
      <c r="J23" s="22" t="s">
        <v>4</v>
      </c>
      <c r="K23" s="22"/>
      <c r="L23" s="3" t="s">
        <v>76</v>
      </c>
      <c r="M23" s="3" t="s">
        <v>179</v>
      </c>
      <c r="N23" s="9" t="s">
        <v>290</v>
      </c>
      <c r="O23" s="10" t="s">
        <v>291</v>
      </c>
      <c r="P23" s="4">
        <f t="shared" si="5"/>
        <v>30</v>
      </c>
      <c r="Q23" s="4" t="str">
        <f t="shared" si="1"/>
        <v>26-35</v>
      </c>
      <c r="R23" s="11">
        <v>1976</v>
      </c>
      <c r="S23" s="4">
        <v>12</v>
      </c>
      <c r="T23" s="4">
        <v>25</v>
      </c>
      <c r="U23" s="3" t="s">
        <v>175</v>
      </c>
      <c r="V23" s="3" t="s">
        <v>5</v>
      </c>
      <c r="W23" s="3" t="s">
        <v>19</v>
      </c>
      <c r="X23" s="3" t="s">
        <v>33</v>
      </c>
      <c r="Y23" s="4">
        <v>4</v>
      </c>
      <c r="Z23" s="3" t="s">
        <v>36</v>
      </c>
      <c r="AA23" s="3" t="s">
        <v>39</v>
      </c>
    </row>
    <row r="24" spans="2:27" ht="14.25" customHeight="1" x14ac:dyDescent="0.3">
      <c r="B24" s="34">
        <f t="shared" si="0"/>
        <v>3020</v>
      </c>
      <c r="C24" s="4">
        <v>3</v>
      </c>
      <c r="D24" s="4">
        <v>2007</v>
      </c>
      <c r="E24" s="12">
        <v>4</v>
      </c>
      <c r="F24" s="3" t="s">
        <v>1</v>
      </c>
      <c r="G24" s="4">
        <v>20</v>
      </c>
      <c r="H24" s="7">
        <v>781.0684</v>
      </c>
      <c r="I24" s="22">
        <v>258572.47760000001</v>
      </c>
      <c r="J24" s="22" t="s">
        <v>4</v>
      </c>
      <c r="K24" s="22"/>
      <c r="L24" s="3" t="s">
        <v>119</v>
      </c>
      <c r="M24" s="3" t="s">
        <v>179</v>
      </c>
      <c r="N24" s="9" t="s">
        <v>381</v>
      </c>
      <c r="O24" s="10" t="s">
        <v>382</v>
      </c>
      <c r="P24" s="4">
        <f t="shared" si="5"/>
        <v>30</v>
      </c>
      <c r="Q24" s="4" t="str">
        <f t="shared" si="1"/>
        <v>26-35</v>
      </c>
      <c r="R24" s="11">
        <v>1977</v>
      </c>
      <c r="S24" s="4">
        <v>1</v>
      </c>
      <c r="T24" s="4">
        <v>8</v>
      </c>
      <c r="U24" s="3" t="s">
        <v>175</v>
      </c>
      <c r="V24" s="3" t="s">
        <v>5</v>
      </c>
      <c r="W24" s="3" t="s">
        <v>15</v>
      </c>
      <c r="X24" s="3" t="s">
        <v>33</v>
      </c>
      <c r="Y24" s="4">
        <v>5</v>
      </c>
      <c r="Z24" s="3" t="s">
        <v>35</v>
      </c>
      <c r="AA24" s="3" t="s">
        <v>182</v>
      </c>
    </row>
    <row r="25" spans="2:27" ht="14.25" customHeight="1" x14ac:dyDescent="0.3">
      <c r="B25" s="34">
        <f t="shared" si="0"/>
        <v>3029</v>
      </c>
      <c r="C25" s="4">
        <v>3</v>
      </c>
      <c r="D25" s="4">
        <v>2007</v>
      </c>
      <c r="E25" s="12">
        <v>4</v>
      </c>
      <c r="F25" s="3" t="s">
        <v>1</v>
      </c>
      <c r="G25" s="4">
        <v>29</v>
      </c>
      <c r="H25" s="7">
        <v>1127.7556</v>
      </c>
      <c r="I25" s="22">
        <v>310831.21159999998</v>
      </c>
      <c r="J25" s="22" t="s">
        <v>4</v>
      </c>
      <c r="K25" s="22"/>
      <c r="L25" s="3" t="s">
        <v>119</v>
      </c>
      <c r="M25" s="3" t="s">
        <v>179</v>
      </c>
      <c r="N25" s="9" t="s">
        <v>381</v>
      </c>
      <c r="O25" s="10" t="s">
        <v>382</v>
      </c>
      <c r="P25" s="4">
        <f t="shared" si="5"/>
        <v>30</v>
      </c>
      <c r="Q25" s="4" t="str">
        <f t="shared" si="1"/>
        <v>26-35</v>
      </c>
      <c r="R25" s="11">
        <v>1977</v>
      </c>
      <c r="S25" s="4">
        <v>1</v>
      </c>
      <c r="T25" s="4">
        <v>8</v>
      </c>
      <c r="U25" s="3" t="s">
        <v>175</v>
      </c>
      <c r="V25" s="3" t="s">
        <v>5</v>
      </c>
      <c r="W25" s="3" t="s">
        <v>15</v>
      </c>
      <c r="X25" s="3" t="s">
        <v>33</v>
      </c>
      <c r="Y25" s="4">
        <v>3</v>
      </c>
      <c r="Z25" s="3" t="s">
        <v>35</v>
      </c>
      <c r="AA25" s="3" t="s">
        <v>182</v>
      </c>
    </row>
    <row r="26" spans="2:27" ht="14.25" customHeight="1" x14ac:dyDescent="0.3">
      <c r="B26" s="34">
        <f t="shared" si="0"/>
        <v>3015</v>
      </c>
      <c r="C26" s="4">
        <v>3</v>
      </c>
      <c r="D26" s="4">
        <v>2006</v>
      </c>
      <c r="E26" s="12">
        <v>10</v>
      </c>
      <c r="F26" s="3" t="s">
        <v>1</v>
      </c>
      <c r="G26" s="4">
        <v>15</v>
      </c>
      <c r="H26" s="7">
        <v>720.70479999999998</v>
      </c>
      <c r="I26" s="22">
        <v>207281.5912</v>
      </c>
      <c r="J26" s="22" t="s">
        <v>4</v>
      </c>
      <c r="K26" s="22"/>
      <c r="L26" s="3" t="s">
        <v>83</v>
      </c>
      <c r="M26" s="3" t="s">
        <v>179</v>
      </c>
      <c r="N26" s="9" t="s">
        <v>308</v>
      </c>
      <c r="O26" s="10" t="s">
        <v>309</v>
      </c>
      <c r="P26" s="4">
        <f t="shared" si="5"/>
        <v>31</v>
      </c>
      <c r="Q26" s="4" t="str">
        <f t="shared" si="1"/>
        <v>26-35</v>
      </c>
      <c r="R26" s="11">
        <v>1975</v>
      </c>
      <c r="S26" s="4">
        <v>3</v>
      </c>
      <c r="T26" s="4">
        <v>22</v>
      </c>
      <c r="U26" s="3" t="s">
        <v>175</v>
      </c>
      <c r="V26" s="3" t="s">
        <v>5</v>
      </c>
      <c r="W26" s="3" t="s">
        <v>14</v>
      </c>
      <c r="X26" s="3" t="s">
        <v>33</v>
      </c>
      <c r="Y26" s="4">
        <v>5</v>
      </c>
      <c r="Z26" s="3" t="s">
        <v>35</v>
      </c>
      <c r="AA26" s="3" t="s">
        <v>525</v>
      </c>
    </row>
    <row r="27" spans="2:27" ht="14.25" customHeight="1" x14ac:dyDescent="0.3">
      <c r="B27" s="34">
        <f t="shared" si="0"/>
        <v>2004</v>
      </c>
      <c r="C27" s="4">
        <v>2</v>
      </c>
      <c r="D27" s="4">
        <v>2006</v>
      </c>
      <c r="E27" s="4">
        <v>12</v>
      </c>
      <c r="F27" s="3" t="s">
        <v>1</v>
      </c>
      <c r="G27" s="5">
        <v>4</v>
      </c>
      <c r="H27" s="7">
        <v>649.68880000000001</v>
      </c>
      <c r="I27" s="22">
        <v>168834.04240000001</v>
      </c>
      <c r="J27" s="22" t="s">
        <v>4</v>
      </c>
      <c r="K27" s="22"/>
      <c r="L27" s="3" t="s">
        <v>94</v>
      </c>
      <c r="M27" s="3" t="s">
        <v>179</v>
      </c>
      <c r="N27" s="9" t="s">
        <v>323</v>
      </c>
      <c r="O27" s="10" t="s">
        <v>324</v>
      </c>
      <c r="P27" s="4">
        <f t="shared" si="5"/>
        <v>31</v>
      </c>
      <c r="Q27" s="4" t="str">
        <f t="shared" si="1"/>
        <v>26-35</v>
      </c>
      <c r="R27" s="11">
        <v>1975</v>
      </c>
      <c r="S27" s="4">
        <v>10</v>
      </c>
      <c r="T27" s="4">
        <v>5</v>
      </c>
      <c r="U27" s="3" t="s">
        <v>175</v>
      </c>
      <c r="V27" s="3" t="s">
        <v>5</v>
      </c>
      <c r="W27" s="3" t="s">
        <v>13</v>
      </c>
      <c r="X27" s="3" t="s">
        <v>34</v>
      </c>
      <c r="Y27" s="4">
        <v>5</v>
      </c>
      <c r="Z27" s="3" t="s">
        <v>35</v>
      </c>
      <c r="AA27" s="3" t="s">
        <v>39</v>
      </c>
    </row>
    <row r="28" spans="2:27" ht="14.25" customHeight="1" x14ac:dyDescent="0.3">
      <c r="B28" s="34">
        <f t="shared" si="0"/>
        <v>2006</v>
      </c>
      <c r="C28" s="4">
        <v>2</v>
      </c>
      <c r="D28" s="4">
        <v>2006</v>
      </c>
      <c r="E28" s="4">
        <v>12</v>
      </c>
      <c r="F28" s="3" t="s">
        <v>1</v>
      </c>
      <c r="G28" s="5">
        <v>6</v>
      </c>
      <c r="H28" s="7">
        <v>1307.4476</v>
      </c>
      <c r="I28" s="22">
        <v>396973.83240000001</v>
      </c>
      <c r="J28" s="22" t="s">
        <v>4</v>
      </c>
      <c r="K28" s="22"/>
      <c r="L28" s="3" t="s">
        <v>94</v>
      </c>
      <c r="M28" s="3" t="s">
        <v>179</v>
      </c>
      <c r="N28" s="9" t="s">
        <v>323</v>
      </c>
      <c r="O28" s="10" t="s">
        <v>324</v>
      </c>
      <c r="P28" s="4">
        <f t="shared" si="5"/>
        <v>31</v>
      </c>
      <c r="Q28" s="4" t="str">
        <f t="shared" si="1"/>
        <v>26-35</v>
      </c>
      <c r="R28" s="11">
        <v>1975</v>
      </c>
      <c r="S28" s="4">
        <v>10</v>
      </c>
      <c r="T28" s="4">
        <v>5</v>
      </c>
      <c r="U28" s="3" t="s">
        <v>175</v>
      </c>
      <c r="V28" s="3" t="s">
        <v>5</v>
      </c>
      <c r="W28" s="3" t="s">
        <v>13</v>
      </c>
      <c r="X28" s="3" t="s">
        <v>34</v>
      </c>
      <c r="Y28" s="4">
        <v>5</v>
      </c>
      <c r="Z28" s="3" t="s">
        <v>35</v>
      </c>
      <c r="AA28" s="3" t="s">
        <v>39</v>
      </c>
    </row>
    <row r="29" spans="2:27" ht="14.25" customHeight="1" x14ac:dyDescent="0.3">
      <c r="B29" s="34">
        <f t="shared" si="0"/>
        <v>5013</v>
      </c>
      <c r="C29" s="4">
        <v>5</v>
      </c>
      <c r="D29" s="4">
        <v>2007</v>
      </c>
      <c r="E29" s="4">
        <v>9</v>
      </c>
      <c r="F29" s="3" t="s">
        <v>1</v>
      </c>
      <c r="G29" s="5">
        <v>13</v>
      </c>
      <c r="H29" s="7">
        <v>618.37720000000002</v>
      </c>
      <c r="I29" s="22">
        <v>188743.1072</v>
      </c>
      <c r="J29" s="22" t="s">
        <v>4</v>
      </c>
      <c r="K29" s="22"/>
      <c r="L29" s="3" t="s">
        <v>144</v>
      </c>
      <c r="M29" s="3" t="s">
        <v>179</v>
      </c>
      <c r="N29" s="9" t="s">
        <v>348</v>
      </c>
      <c r="O29" s="10" t="s">
        <v>349</v>
      </c>
      <c r="P29" s="4">
        <f t="shared" si="5"/>
        <v>31</v>
      </c>
      <c r="Q29" s="4" t="str">
        <f t="shared" si="1"/>
        <v>26-35</v>
      </c>
      <c r="R29" s="11">
        <v>1976</v>
      </c>
      <c r="S29" s="4">
        <v>2</v>
      </c>
      <c r="T29" s="4">
        <v>26</v>
      </c>
      <c r="U29" s="3" t="s">
        <v>177</v>
      </c>
      <c r="V29" s="3" t="s">
        <v>5</v>
      </c>
      <c r="W29" s="3" t="s">
        <v>19</v>
      </c>
      <c r="X29" s="3" t="s">
        <v>33</v>
      </c>
      <c r="Y29" s="4">
        <v>4</v>
      </c>
      <c r="Z29" s="3" t="s">
        <v>36</v>
      </c>
      <c r="AA29" s="3" t="s">
        <v>39</v>
      </c>
    </row>
    <row r="30" spans="2:27" ht="14.25" customHeight="1" x14ac:dyDescent="0.3">
      <c r="B30" s="34">
        <f t="shared" si="0"/>
        <v>1026</v>
      </c>
      <c r="C30" s="4">
        <v>1</v>
      </c>
      <c r="D30" s="4">
        <v>2005</v>
      </c>
      <c r="E30" s="4">
        <v>3</v>
      </c>
      <c r="F30" s="3" t="s">
        <v>1</v>
      </c>
      <c r="G30" s="5">
        <v>26</v>
      </c>
      <c r="H30" s="7">
        <v>625.80160000000001</v>
      </c>
      <c r="I30" s="22">
        <v>179674.07519999999</v>
      </c>
      <c r="J30" s="22" t="s">
        <v>4</v>
      </c>
      <c r="K30" s="22"/>
      <c r="L30" s="3" t="s">
        <v>54</v>
      </c>
      <c r="M30" s="3" t="s">
        <v>179</v>
      </c>
      <c r="N30" s="9" t="s">
        <v>204</v>
      </c>
      <c r="O30" s="10" t="s">
        <v>205</v>
      </c>
      <c r="P30" s="4">
        <f t="shared" si="5"/>
        <v>32</v>
      </c>
      <c r="Q30" s="4" t="str">
        <f t="shared" si="1"/>
        <v>26-35</v>
      </c>
      <c r="R30" s="11">
        <v>1973</v>
      </c>
      <c r="S30" s="4">
        <v>9</v>
      </c>
      <c r="T30" s="4">
        <v>1</v>
      </c>
      <c r="U30" s="3" t="s">
        <v>175</v>
      </c>
      <c r="V30" s="3" t="s">
        <v>5</v>
      </c>
      <c r="W30" s="3" t="s">
        <v>13</v>
      </c>
      <c r="X30" s="3" t="s">
        <v>33</v>
      </c>
      <c r="Y30" s="4">
        <v>4</v>
      </c>
      <c r="Z30" s="3" t="s">
        <v>35</v>
      </c>
      <c r="AA30" s="3" t="s">
        <v>525</v>
      </c>
    </row>
    <row r="31" spans="2:27" ht="14.25" customHeight="1" x14ac:dyDescent="0.3">
      <c r="B31" s="34">
        <f t="shared" si="0"/>
        <v>2054</v>
      </c>
      <c r="C31" s="4">
        <v>2</v>
      </c>
      <c r="D31" s="4">
        <v>2006</v>
      </c>
      <c r="E31" s="4">
        <v>6</v>
      </c>
      <c r="F31" s="3" t="s">
        <v>1</v>
      </c>
      <c r="G31" s="5">
        <v>54</v>
      </c>
      <c r="H31" s="7">
        <v>1203.2908</v>
      </c>
      <c r="I31" s="22">
        <v>306363.64360000001</v>
      </c>
      <c r="J31" s="22" t="s">
        <v>4</v>
      </c>
      <c r="K31" s="22"/>
      <c r="L31" s="3" t="s">
        <v>71</v>
      </c>
      <c r="M31" s="3" t="s">
        <v>179</v>
      </c>
      <c r="N31" s="9" t="s">
        <v>278</v>
      </c>
      <c r="O31" s="10" t="s">
        <v>279</v>
      </c>
      <c r="P31" s="4">
        <f t="shared" ref="P31:P39" si="6">IF((D31-R31)=0," ",D31-R31)</f>
        <v>32</v>
      </c>
      <c r="Q31" s="4" t="str">
        <f t="shared" si="1"/>
        <v>26-35</v>
      </c>
      <c r="R31" s="11">
        <v>1974</v>
      </c>
      <c r="S31" s="4">
        <v>3</v>
      </c>
      <c r="T31" s="4">
        <v>27</v>
      </c>
      <c r="U31" s="3" t="s">
        <v>175</v>
      </c>
      <c r="V31" s="3" t="s">
        <v>5</v>
      </c>
      <c r="W31" s="3" t="s">
        <v>13</v>
      </c>
      <c r="X31" s="3" t="s">
        <v>33</v>
      </c>
      <c r="Y31" s="4">
        <v>5</v>
      </c>
      <c r="Z31" s="3" t="s">
        <v>36</v>
      </c>
      <c r="AA31" s="3" t="s">
        <v>182</v>
      </c>
    </row>
    <row r="32" spans="2:27" ht="14.25" customHeight="1" x14ac:dyDescent="0.3">
      <c r="B32" s="34">
        <f t="shared" si="0"/>
        <v>3033</v>
      </c>
      <c r="C32" s="4">
        <v>3</v>
      </c>
      <c r="D32" s="4">
        <v>2007</v>
      </c>
      <c r="E32" s="12">
        <v>9</v>
      </c>
      <c r="F32" s="3" t="s">
        <v>1</v>
      </c>
      <c r="G32" s="4">
        <v>33</v>
      </c>
      <c r="H32" s="7">
        <v>670.88599999999997</v>
      </c>
      <c r="I32" s="22">
        <v>200300.63399999999</v>
      </c>
      <c r="J32" s="22" t="s">
        <v>4</v>
      </c>
      <c r="K32" s="22"/>
      <c r="L32" s="3" t="s">
        <v>143</v>
      </c>
      <c r="M32" s="3" t="s">
        <v>179</v>
      </c>
      <c r="N32" s="9" t="s">
        <v>420</v>
      </c>
      <c r="O32" s="10" t="s">
        <v>421</v>
      </c>
      <c r="P32" s="4">
        <f t="shared" si="6"/>
        <v>32</v>
      </c>
      <c r="Q32" s="4" t="str">
        <f t="shared" si="1"/>
        <v>26-35</v>
      </c>
      <c r="R32" s="11">
        <v>1975</v>
      </c>
      <c r="S32" s="4">
        <v>8</v>
      </c>
      <c r="T32" s="4">
        <v>11.999999999999998</v>
      </c>
      <c r="U32" s="3" t="s">
        <v>177</v>
      </c>
      <c r="V32" s="3" t="s">
        <v>5</v>
      </c>
      <c r="W32" s="3" t="s">
        <v>17</v>
      </c>
      <c r="X32" s="3" t="s">
        <v>33</v>
      </c>
      <c r="Y32" s="4">
        <v>1</v>
      </c>
      <c r="Z32" s="3" t="s">
        <v>36</v>
      </c>
      <c r="AA32" s="3" t="s">
        <v>525</v>
      </c>
    </row>
    <row r="33" spans="2:27" ht="14.25" customHeight="1" x14ac:dyDescent="0.3">
      <c r="B33" s="34">
        <f t="shared" si="0"/>
        <v>1025</v>
      </c>
      <c r="C33" s="4">
        <v>1</v>
      </c>
      <c r="D33" s="4">
        <v>2005</v>
      </c>
      <c r="E33" s="4">
        <v>3</v>
      </c>
      <c r="F33" s="3" t="s">
        <v>1</v>
      </c>
      <c r="G33" s="5">
        <v>25</v>
      </c>
      <c r="H33" s="7">
        <v>1434.0927999999999</v>
      </c>
      <c r="I33" s="22">
        <v>382041.12799999997</v>
      </c>
      <c r="J33" s="22" t="s">
        <v>4</v>
      </c>
      <c r="K33" s="22"/>
      <c r="L33" s="3" t="s">
        <v>53</v>
      </c>
      <c r="M33" s="3" t="s">
        <v>179</v>
      </c>
      <c r="N33" s="11" t="s">
        <v>389</v>
      </c>
      <c r="O33" s="11" t="s">
        <v>185</v>
      </c>
      <c r="P33" s="4">
        <f t="shared" si="6"/>
        <v>33</v>
      </c>
      <c r="Q33" s="4" t="str">
        <f t="shared" si="1"/>
        <v>26-35</v>
      </c>
      <c r="R33" s="11">
        <v>1972</v>
      </c>
      <c r="S33" s="4">
        <v>3</v>
      </c>
      <c r="T33" s="4">
        <v>26</v>
      </c>
      <c r="U33" s="3" t="s">
        <v>175</v>
      </c>
      <c r="V33" s="3" t="s">
        <v>5</v>
      </c>
      <c r="W33" s="3" t="s">
        <v>13</v>
      </c>
      <c r="X33" s="3" t="s">
        <v>33</v>
      </c>
      <c r="Y33" s="4">
        <v>1</v>
      </c>
      <c r="Z33" s="3" t="s">
        <v>35</v>
      </c>
      <c r="AA33" s="3" t="s">
        <v>39</v>
      </c>
    </row>
    <row r="34" spans="2:27" ht="14.25" customHeight="1" x14ac:dyDescent="0.3">
      <c r="B34" s="34">
        <f t="shared" si="0"/>
        <v>3027</v>
      </c>
      <c r="C34" s="4">
        <v>3</v>
      </c>
      <c r="D34" s="4">
        <v>2006</v>
      </c>
      <c r="E34" s="12">
        <v>8</v>
      </c>
      <c r="F34" s="3" t="s">
        <v>1</v>
      </c>
      <c r="G34" s="4">
        <v>27</v>
      </c>
      <c r="H34" s="7">
        <v>781.0684</v>
      </c>
      <c r="I34" s="22">
        <v>245572.7936</v>
      </c>
      <c r="J34" s="22" t="s">
        <v>4</v>
      </c>
      <c r="K34" s="22"/>
      <c r="L34" s="3" t="s">
        <v>74</v>
      </c>
      <c r="M34" s="3" t="s">
        <v>179</v>
      </c>
      <c r="N34" s="9" t="s">
        <v>284</v>
      </c>
      <c r="O34" s="10" t="s">
        <v>285</v>
      </c>
      <c r="P34" s="4">
        <f t="shared" si="6"/>
        <v>33</v>
      </c>
      <c r="Q34" s="4" t="str">
        <f t="shared" si="1"/>
        <v>26-35</v>
      </c>
      <c r="R34" s="11">
        <v>1973</v>
      </c>
      <c r="S34" s="4">
        <v>9</v>
      </c>
      <c r="T34" s="4">
        <v>15</v>
      </c>
      <c r="U34" s="3" t="s">
        <v>175</v>
      </c>
      <c r="V34" s="3" t="s">
        <v>5</v>
      </c>
      <c r="W34" s="3" t="s">
        <v>13</v>
      </c>
      <c r="X34" s="3" t="s">
        <v>33</v>
      </c>
      <c r="Y34" s="4">
        <v>3</v>
      </c>
      <c r="Z34" s="3" t="s">
        <v>35</v>
      </c>
      <c r="AA34" s="3" t="s">
        <v>525</v>
      </c>
    </row>
    <row r="35" spans="2:27" ht="14.25" customHeight="1" x14ac:dyDescent="0.3">
      <c r="B35" s="34">
        <f t="shared" si="0"/>
        <v>3031</v>
      </c>
      <c r="C35" s="4">
        <v>3</v>
      </c>
      <c r="D35" s="4">
        <v>2007</v>
      </c>
      <c r="E35" s="12">
        <v>3</v>
      </c>
      <c r="F35" s="3" t="s">
        <v>1</v>
      </c>
      <c r="G35" s="4">
        <v>31</v>
      </c>
      <c r="H35" s="7">
        <v>1596.3536000000001</v>
      </c>
      <c r="I35" s="22">
        <v>407214.28960000002</v>
      </c>
      <c r="J35" s="22" t="s">
        <v>4</v>
      </c>
      <c r="K35" s="22"/>
      <c r="L35" s="3" t="s">
        <v>110</v>
      </c>
      <c r="M35" s="3" t="s">
        <v>179</v>
      </c>
      <c r="N35" s="9" t="s">
        <v>360</v>
      </c>
      <c r="O35" s="10" t="s">
        <v>361</v>
      </c>
      <c r="P35" s="4">
        <f t="shared" si="6"/>
        <v>33</v>
      </c>
      <c r="Q35" s="4" t="str">
        <f t="shared" si="1"/>
        <v>26-35</v>
      </c>
      <c r="R35" s="11">
        <v>1974</v>
      </c>
      <c r="S35" s="4">
        <v>12</v>
      </c>
      <c r="T35" s="4">
        <v>25</v>
      </c>
      <c r="U35" s="3" t="s">
        <v>177</v>
      </c>
      <c r="V35" s="3" t="s">
        <v>5</v>
      </c>
      <c r="W35" s="3" t="s">
        <v>13</v>
      </c>
      <c r="X35" s="3" t="s">
        <v>34</v>
      </c>
      <c r="Y35" s="4">
        <v>4</v>
      </c>
      <c r="Z35" s="3" t="s">
        <v>35</v>
      </c>
      <c r="AA35" s="3" t="s">
        <v>182</v>
      </c>
    </row>
    <row r="36" spans="2:27" ht="14.25" customHeight="1" x14ac:dyDescent="0.3">
      <c r="B36" s="34">
        <f t="shared" si="0"/>
        <v>2043</v>
      </c>
      <c r="C36" s="4">
        <v>2</v>
      </c>
      <c r="D36" s="4">
        <v>2007</v>
      </c>
      <c r="E36" s="4">
        <v>4</v>
      </c>
      <c r="F36" s="3" t="s">
        <v>1</v>
      </c>
      <c r="G36" s="5">
        <v>43</v>
      </c>
      <c r="H36" s="7">
        <v>1110.3244</v>
      </c>
      <c r="I36" s="22">
        <v>355073.4032</v>
      </c>
      <c r="J36" s="22" t="s">
        <v>4</v>
      </c>
      <c r="K36" s="22"/>
      <c r="L36" s="3" t="s">
        <v>113</v>
      </c>
      <c r="M36" s="3" t="s">
        <v>179</v>
      </c>
      <c r="N36" s="9" t="s">
        <v>377</v>
      </c>
      <c r="O36" s="10" t="s">
        <v>378</v>
      </c>
      <c r="P36" s="4">
        <f t="shared" si="6"/>
        <v>33</v>
      </c>
      <c r="Q36" s="4" t="str">
        <f t="shared" si="1"/>
        <v>26-35</v>
      </c>
      <c r="R36" s="11">
        <v>1974</v>
      </c>
      <c r="S36" s="4">
        <v>7.0000000000000009</v>
      </c>
      <c r="T36" s="4">
        <v>18</v>
      </c>
      <c r="U36" s="3" t="s">
        <v>175</v>
      </c>
      <c r="V36" s="3" t="s">
        <v>5</v>
      </c>
      <c r="W36" s="3" t="s">
        <v>14</v>
      </c>
      <c r="X36" s="3" t="s">
        <v>33</v>
      </c>
      <c r="Y36" s="4">
        <v>2</v>
      </c>
      <c r="Z36" s="3" t="s">
        <v>36</v>
      </c>
      <c r="AA36" s="3" t="s">
        <v>525</v>
      </c>
    </row>
    <row r="37" spans="2:27" ht="14.25" customHeight="1" x14ac:dyDescent="0.3">
      <c r="B37" s="34">
        <f t="shared" si="0"/>
        <v>3034</v>
      </c>
      <c r="C37" s="4">
        <v>3</v>
      </c>
      <c r="D37" s="4">
        <v>2007</v>
      </c>
      <c r="E37" s="12">
        <v>4</v>
      </c>
      <c r="F37" s="3" t="s">
        <v>1</v>
      </c>
      <c r="G37" s="4">
        <v>34</v>
      </c>
      <c r="H37" s="7">
        <v>781.0684</v>
      </c>
      <c r="I37" s="22">
        <v>256821.6404</v>
      </c>
      <c r="J37" s="22" t="s">
        <v>4</v>
      </c>
      <c r="K37" s="22"/>
      <c r="L37" s="3" t="s">
        <v>115</v>
      </c>
      <c r="M37" s="3" t="s">
        <v>179</v>
      </c>
      <c r="N37" s="9" t="s">
        <v>366</v>
      </c>
      <c r="O37" s="10" t="s">
        <v>367</v>
      </c>
      <c r="P37" s="4">
        <f t="shared" si="6"/>
        <v>33</v>
      </c>
      <c r="Q37" s="4" t="str">
        <f t="shared" si="1"/>
        <v>26-35</v>
      </c>
      <c r="R37" s="11">
        <v>1974</v>
      </c>
      <c r="S37" s="4">
        <v>12</v>
      </c>
      <c r="T37" s="4">
        <v>25</v>
      </c>
      <c r="U37" s="3" t="s">
        <v>177</v>
      </c>
      <c r="V37" s="3" t="s">
        <v>5</v>
      </c>
      <c r="W37" s="3" t="s">
        <v>13</v>
      </c>
      <c r="X37" s="3" t="s">
        <v>34</v>
      </c>
      <c r="Y37" s="4">
        <v>3</v>
      </c>
      <c r="Z37" s="3" t="s">
        <v>35</v>
      </c>
      <c r="AA37" s="3" t="s">
        <v>182</v>
      </c>
    </row>
    <row r="38" spans="2:27" ht="14.25" customHeight="1" x14ac:dyDescent="0.3">
      <c r="B38" s="34">
        <f t="shared" ref="B38:B69" si="7">C38*1000+G38</f>
        <v>3016</v>
      </c>
      <c r="C38" s="4">
        <v>3</v>
      </c>
      <c r="D38" s="4">
        <v>2007</v>
      </c>
      <c r="E38" s="12">
        <v>4</v>
      </c>
      <c r="F38" s="3" t="s">
        <v>1</v>
      </c>
      <c r="G38" s="4">
        <v>16</v>
      </c>
      <c r="H38" s="7">
        <v>697.89359999999999</v>
      </c>
      <c r="I38" s="22">
        <v>226342.80319999999</v>
      </c>
      <c r="J38" s="22" t="s">
        <v>4</v>
      </c>
      <c r="K38" s="22"/>
      <c r="L38" s="3" t="s">
        <v>118</v>
      </c>
      <c r="M38" s="3" t="s">
        <v>179</v>
      </c>
      <c r="N38" s="11" t="s">
        <v>495</v>
      </c>
      <c r="O38" s="11" t="s">
        <v>496</v>
      </c>
      <c r="P38" s="4">
        <f t="shared" si="6"/>
        <v>33</v>
      </c>
      <c r="Q38" s="4" t="str">
        <f t="shared" ref="Q38:Q69" si="8">IF(P38&lt;26,"18-25",IF(P38&lt;36,"26-35",IF(P38&lt;46,"36-45",IF(P38&lt;56,"46-55",IF(P38&lt;66,"56-65","65+")))))</f>
        <v>26-35</v>
      </c>
      <c r="R38" s="11">
        <v>1974</v>
      </c>
      <c r="S38" s="4">
        <v>2</v>
      </c>
      <c r="T38" s="4">
        <v>10</v>
      </c>
      <c r="U38" s="3" t="s">
        <v>175</v>
      </c>
      <c r="V38" s="3" t="s">
        <v>9</v>
      </c>
      <c r="W38" s="3" t="s">
        <v>15</v>
      </c>
      <c r="X38" s="3" t="s">
        <v>34</v>
      </c>
      <c r="Y38" s="4">
        <v>4</v>
      </c>
      <c r="Z38" s="3" t="s">
        <v>35</v>
      </c>
      <c r="AA38" s="3" t="s">
        <v>39</v>
      </c>
    </row>
    <row r="39" spans="2:27" ht="14.25" customHeight="1" x14ac:dyDescent="0.3">
      <c r="B39" s="34">
        <f t="shared" si="7"/>
        <v>1018</v>
      </c>
      <c r="C39" s="4">
        <v>1</v>
      </c>
      <c r="D39" s="4">
        <v>2004</v>
      </c>
      <c r="E39" s="4">
        <v>10</v>
      </c>
      <c r="F39" s="3" t="s">
        <v>1</v>
      </c>
      <c r="G39" s="5">
        <v>18</v>
      </c>
      <c r="H39" s="7">
        <v>625.80160000000001</v>
      </c>
      <c r="I39" s="22">
        <v>191389.8688</v>
      </c>
      <c r="J39" s="22" t="s">
        <v>4</v>
      </c>
      <c r="K39" s="22"/>
      <c r="L39" s="3" t="s">
        <v>42</v>
      </c>
      <c r="M39" s="3" t="s">
        <v>179</v>
      </c>
      <c r="N39" s="9" t="s">
        <v>198</v>
      </c>
      <c r="O39" s="10" t="s">
        <v>199</v>
      </c>
      <c r="P39" s="4">
        <f t="shared" si="6"/>
        <v>34</v>
      </c>
      <c r="Q39" s="4" t="str">
        <f t="shared" si="8"/>
        <v>26-35</v>
      </c>
      <c r="R39" s="11">
        <v>1970</v>
      </c>
      <c r="S39" s="4">
        <v>5</v>
      </c>
      <c r="T39" s="4">
        <v>5</v>
      </c>
      <c r="U39" s="3" t="s">
        <v>177</v>
      </c>
      <c r="V39" s="3" t="s">
        <v>5</v>
      </c>
      <c r="W39" s="3" t="s">
        <v>13</v>
      </c>
      <c r="X39" s="3" t="s">
        <v>33</v>
      </c>
      <c r="Y39" s="4">
        <v>3</v>
      </c>
      <c r="Z39" s="3" t="s">
        <v>35</v>
      </c>
      <c r="AA39" s="3" t="s">
        <v>525</v>
      </c>
    </row>
    <row r="40" spans="2:27" ht="14.25" customHeight="1" x14ac:dyDescent="0.3">
      <c r="B40" s="34">
        <f t="shared" si="7"/>
        <v>2050</v>
      </c>
      <c r="C40" s="4">
        <v>2</v>
      </c>
      <c r="D40" s="4">
        <v>2006</v>
      </c>
      <c r="E40" s="4">
        <v>9</v>
      </c>
      <c r="F40" s="3" t="s">
        <v>1</v>
      </c>
      <c r="G40" s="5">
        <v>50</v>
      </c>
      <c r="H40" s="7">
        <v>957.53239999999994</v>
      </c>
      <c r="I40" s="22">
        <v>297008.96519999998</v>
      </c>
      <c r="J40" s="22" t="s">
        <v>4</v>
      </c>
      <c r="K40" s="22"/>
      <c r="L40" s="3" t="s">
        <v>81</v>
      </c>
      <c r="M40" s="3" t="s">
        <v>179</v>
      </c>
      <c r="N40" s="9" t="s">
        <v>300</v>
      </c>
      <c r="O40" s="10" t="s">
        <v>301</v>
      </c>
      <c r="P40" s="4">
        <f t="shared" ref="P40:P47" si="9">IF((D40-R40)=0," ",D40-R40)</f>
        <v>34</v>
      </c>
      <c r="Q40" s="4" t="str">
        <f t="shared" si="8"/>
        <v>26-35</v>
      </c>
      <c r="R40" s="11">
        <v>1972</v>
      </c>
      <c r="S40" s="4">
        <v>7.0000000000000009</v>
      </c>
      <c r="T40" s="4">
        <v>11</v>
      </c>
      <c r="U40" s="3" t="s">
        <v>177</v>
      </c>
      <c r="V40" s="3" t="s">
        <v>5</v>
      </c>
      <c r="W40" s="3" t="s">
        <v>13</v>
      </c>
      <c r="X40" s="3" t="s">
        <v>34</v>
      </c>
      <c r="Y40" s="4">
        <v>2</v>
      </c>
      <c r="Z40" s="3" t="s">
        <v>35</v>
      </c>
      <c r="AA40" s="3" t="s">
        <v>39</v>
      </c>
    </row>
    <row r="41" spans="2:27" ht="14.25" customHeight="1" x14ac:dyDescent="0.3">
      <c r="B41" s="34">
        <f t="shared" si="7"/>
        <v>2044</v>
      </c>
      <c r="C41" s="4">
        <v>2</v>
      </c>
      <c r="D41" s="4">
        <v>2007</v>
      </c>
      <c r="E41" s="4">
        <v>1</v>
      </c>
      <c r="F41" s="3" t="s">
        <v>1</v>
      </c>
      <c r="G41" s="5">
        <v>44</v>
      </c>
      <c r="H41" s="7">
        <v>722.96439999999996</v>
      </c>
      <c r="I41" s="22">
        <v>250773.1452</v>
      </c>
      <c r="J41" s="22" t="s">
        <v>4</v>
      </c>
      <c r="K41" s="22"/>
      <c r="L41" s="3" t="s">
        <v>95</v>
      </c>
      <c r="M41" s="3" t="s">
        <v>179</v>
      </c>
      <c r="N41" s="9" t="s">
        <v>331</v>
      </c>
      <c r="O41" s="10" t="s">
        <v>332</v>
      </c>
      <c r="P41" s="4">
        <f t="shared" si="9"/>
        <v>34</v>
      </c>
      <c r="Q41" s="4" t="str">
        <f t="shared" si="8"/>
        <v>26-35</v>
      </c>
      <c r="R41" s="11">
        <v>1973</v>
      </c>
      <c r="S41" s="4">
        <v>6</v>
      </c>
      <c r="T41" s="4">
        <v>7</v>
      </c>
      <c r="U41" s="3" t="s">
        <v>177</v>
      </c>
      <c r="V41" s="3" t="s">
        <v>5</v>
      </c>
      <c r="W41" s="3" t="s">
        <v>13</v>
      </c>
      <c r="X41" s="3" t="s">
        <v>33</v>
      </c>
      <c r="Y41" s="4">
        <v>5</v>
      </c>
      <c r="Z41" s="3" t="s">
        <v>36</v>
      </c>
      <c r="AA41" s="3" t="s">
        <v>39</v>
      </c>
    </row>
    <row r="42" spans="2:27" ht="14.25" customHeight="1" x14ac:dyDescent="0.3">
      <c r="B42" s="34">
        <f t="shared" si="7"/>
        <v>3039</v>
      </c>
      <c r="C42" s="4">
        <v>3</v>
      </c>
      <c r="D42" s="4">
        <v>2007</v>
      </c>
      <c r="E42" s="12">
        <v>5</v>
      </c>
      <c r="F42" s="3" t="s">
        <v>1</v>
      </c>
      <c r="G42" s="4">
        <v>39</v>
      </c>
      <c r="H42" s="7">
        <v>923.20799999999997</v>
      </c>
      <c r="I42" s="22">
        <v>312211.14399999997</v>
      </c>
      <c r="J42" s="22" t="s">
        <v>4</v>
      </c>
      <c r="K42" s="22"/>
      <c r="L42" s="3" t="s">
        <v>121</v>
      </c>
      <c r="M42" s="3" t="s">
        <v>179</v>
      </c>
      <c r="N42" s="9" t="s">
        <v>342</v>
      </c>
      <c r="O42" s="10" t="s">
        <v>343</v>
      </c>
      <c r="P42" s="4">
        <f t="shared" si="9"/>
        <v>34</v>
      </c>
      <c r="Q42" s="4" t="str">
        <f t="shared" si="8"/>
        <v>26-35</v>
      </c>
      <c r="R42" s="11">
        <v>1973</v>
      </c>
      <c r="S42" s="4">
        <v>12</v>
      </c>
      <c r="T42" s="4">
        <v>15</v>
      </c>
      <c r="U42" s="3" t="s">
        <v>175</v>
      </c>
      <c r="V42" s="3" t="s">
        <v>5</v>
      </c>
      <c r="W42" s="3" t="s">
        <v>19</v>
      </c>
      <c r="X42" s="3" t="s">
        <v>33</v>
      </c>
      <c r="Y42" s="4">
        <v>3</v>
      </c>
      <c r="Z42" s="3" t="s">
        <v>35</v>
      </c>
      <c r="AA42" s="3" t="s">
        <v>525</v>
      </c>
    </row>
    <row r="43" spans="2:27" ht="14.25" customHeight="1" x14ac:dyDescent="0.3">
      <c r="B43" s="34">
        <f t="shared" si="7"/>
        <v>3053</v>
      </c>
      <c r="C43" s="4">
        <v>3</v>
      </c>
      <c r="D43" s="4">
        <v>2007</v>
      </c>
      <c r="E43" s="12">
        <v>12</v>
      </c>
      <c r="F43" s="3" t="s">
        <v>1</v>
      </c>
      <c r="G43" s="4">
        <v>53</v>
      </c>
      <c r="H43" s="7">
        <v>670.24040000000002</v>
      </c>
      <c r="I43" s="22">
        <v>190119.50400000002</v>
      </c>
      <c r="J43" s="22" t="s">
        <v>4</v>
      </c>
      <c r="K43" s="22"/>
      <c r="L43" s="3" t="s">
        <v>166</v>
      </c>
      <c r="M43" s="3" t="s">
        <v>179</v>
      </c>
      <c r="N43" s="9" t="s">
        <v>258</v>
      </c>
      <c r="O43" s="10" t="s">
        <v>259</v>
      </c>
      <c r="P43" s="4">
        <f t="shared" si="9"/>
        <v>34</v>
      </c>
      <c r="Q43" s="4" t="str">
        <f t="shared" si="8"/>
        <v>26-35</v>
      </c>
      <c r="R43" s="11">
        <v>1973</v>
      </c>
      <c r="S43" s="4">
        <v>8</v>
      </c>
      <c r="T43" s="4">
        <v>18</v>
      </c>
      <c r="U43" s="3" t="s">
        <v>177</v>
      </c>
      <c r="V43" s="3" t="s">
        <v>5</v>
      </c>
      <c r="W43" s="3" t="s">
        <v>13</v>
      </c>
      <c r="X43" s="3" t="s">
        <v>33</v>
      </c>
      <c r="Y43" s="4">
        <v>1</v>
      </c>
      <c r="Z43" s="3" t="s">
        <v>36</v>
      </c>
      <c r="AA43" s="3" t="s">
        <v>39</v>
      </c>
    </row>
    <row r="44" spans="2:27" ht="14.25" customHeight="1" x14ac:dyDescent="0.3">
      <c r="B44" s="34">
        <f t="shared" si="7"/>
        <v>2041</v>
      </c>
      <c r="C44" s="4">
        <v>2</v>
      </c>
      <c r="D44" s="4">
        <v>2006</v>
      </c>
      <c r="E44" s="4">
        <v>7</v>
      </c>
      <c r="F44" s="3" t="s">
        <v>1</v>
      </c>
      <c r="G44" s="5">
        <v>41</v>
      </c>
      <c r="H44" s="7">
        <v>785.48</v>
      </c>
      <c r="I44" s="22">
        <v>225050.52000000002</v>
      </c>
      <c r="J44" s="22" t="s">
        <v>4</v>
      </c>
      <c r="K44" s="22"/>
      <c r="L44" s="3" t="s">
        <v>72</v>
      </c>
      <c r="M44" s="3" t="s">
        <v>179</v>
      </c>
      <c r="N44" s="9" t="s">
        <v>266</v>
      </c>
      <c r="O44" s="10" t="s">
        <v>267</v>
      </c>
      <c r="P44" s="4">
        <f t="shared" si="9"/>
        <v>35</v>
      </c>
      <c r="Q44" s="4" t="str">
        <f t="shared" si="8"/>
        <v>26-35</v>
      </c>
      <c r="R44" s="11">
        <v>1971</v>
      </c>
      <c r="S44" s="4">
        <v>12</v>
      </c>
      <c r="T44" s="4">
        <v>2</v>
      </c>
      <c r="U44" s="3" t="s">
        <v>175</v>
      </c>
      <c r="V44" s="3" t="s">
        <v>5</v>
      </c>
      <c r="W44" s="3" t="s">
        <v>13</v>
      </c>
      <c r="X44" s="3" t="s">
        <v>33</v>
      </c>
      <c r="Y44" s="4">
        <v>1</v>
      </c>
      <c r="Z44" s="3" t="s">
        <v>35</v>
      </c>
      <c r="AA44" s="3" t="s">
        <v>525</v>
      </c>
    </row>
    <row r="45" spans="2:27" ht="14.25" customHeight="1" x14ac:dyDescent="0.3">
      <c r="B45" s="34">
        <f t="shared" si="7"/>
        <v>5035</v>
      </c>
      <c r="C45" s="4">
        <v>5</v>
      </c>
      <c r="D45" s="4">
        <v>2008</v>
      </c>
      <c r="E45" s="4">
        <v>5</v>
      </c>
      <c r="F45" s="3" t="s">
        <v>1</v>
      </c>
      <c r="G45" s="5">
        <v>35</v>
      </c>
      <c r="H45" s="7">
        <v>798.28440000000001</v>
      </c>
      <c r="I45" s="22">
        <v>261742.742</v>
      </c>
      <c r="J45" s="22" t="s">
        <v>4</v>
      </c>
      <c r="K45" s="22"/>
      <c r="L45" s="3" t="s">
        <v>493</v>
      </c>
      <c r="M45" s="3" t="s">
        <v>179</v>
      </c>
      <c r="N45" s="9" t="s">
        <v>372</v>
      </c>
      <c r="O45" s="10" t="s">
        <v>373</v>
      </c>
      <c r="P45" s="4">
        <f t="shared" si="9"/>
        <v>35</v>
      </c>
      <c r="Q45" s="4" t="str">
        <f t="shared" si="8"/>
        <v>26-35</v>
      </c>
      <c r="R45" s="11">
        <v>1973</v>
      </c>
      <c r="S45" s="4">
        <v>7</v>
      </c>
      <c r="T45" s="4">
        <v>17</v>
      </c>
      <c r="U45" s="3" t="s">
        <v>175</v>
      </c>
      <c r="V45" s="3" t="s">
        <v>5</v>
      </c>
      <c r="W45" s="3" t="s">
        <v>15</v>
      </c>
      <c r="X45" s="3" t="s">
        <v>34</v>
      </c>
      <c r="Y45" s="4">
        <v>5</v>
      </c>
      <c r="Z45" s="3" t="s">
        <v>35</v>
      </c>
      <c r="AA45" s="3" t="s">
        <v>525</v>
      </c>
    </row>
    <row r="46" spans="2:27" ht="14.25" customHeight="1" x14ac:dyDescent="0.3">
      <c r="B46" s="34">
        <f t="shared" si="7"/>
        <v>4005</v>
      </c>
      <c r="C46" s="4">
        <v>4</v>
      </c>
      <c r="D46" s="4">
        <v>2007</v>
      </c>
      <c r="E46" s="4">
        <v>11</v>
      </c>
      <c r="F46" s="3" t="s">
        <v>1</v>
      </c>
      <c r="G46" s="5">
        <v>5</v>
      </c>
      <c r="H46" s="7">
        <v>1121.9451999999999</v>
      </c>
      <c r="I46" s="22">
        <v>344530.88879999996</v>
      </c>
      <c r="J46" s="22" t="s">
        <v>4</v>
      </c>
      <c r="K46" s="22"/>
      <c r="L46" s="3" t="s">
        <v>153</v>
      </c>
      <c r="M46" s="3" t="s">
        <v>179</v>
      </c>
      <c r="N46" s="9" t="s">
        <v>452</v>
      </c>
      <c r="O46" s="10" t="s">
        <v>453</v>
      </c>
      <c r="P46" s="4">
        <f t="shared" si="9"/>
        <v>35</v>
      </c>
      <c r="Q46" s="4" t="str">
        <f t="shared" si="8"/>
        <v>26-35</v>
      </c>
      <c r="R46" s="11">
        <v>1972</v>
      </c>
      <c r="S46" s="4">
        <v>5</v>
      </c>
      <c r="T46" s="4">
        <v>7</v>
      </c>
      <c r="U46" s="3" t="s">
        <v>177</v>
      </c>
      <c r="V46" s="3" t="s">
        <v>5</v>
      </c>
      <c r="W46" s="3" t="s">
        <v>13</v>
      </c>
      <c r="X46" s="3" t="s">
        <v>33</v>
      </c>
      <c r="Y46" s="4">
        <v>5</v>
      </c>
      <c r="Z46" s="3" t="s">
        <v>35</v>
      </c>
      <c r="AA46" s="3" t="s">
        <v>525</v>
      </c>
    </row>
    <row r="47" spans="2:27" ht="14.25" customHeight="1" x14ac:dyDescent="0.3">
      <c r="B47" s="34">
        <f t="shared" si="7"/>
        <v>1032</v>
      </c>
      <c r="C47" s="4">
        <v>1</v>
      </c>
      <c r="D47" s="4">
        <v>2005</v>
      </c>
      <c r="E47" s="4">
        <v>1</v>
      </c>
      <c r="F47" s="3" t="s">
        <v>1</v>
      </c>
      <c r="G47" s="5">
        <v>32</v>
      </c>
      <c r="H47" s="7">
        <v>782.25200000000007</v>
      </c>
      <c r="I47" s="22">
        <v>215410.27600000001</v>
      </c>
      <c r="J47" s="22" t="s">
        <v>4</v>
      </c>
      <c r="K47" s="22"/>
      <c r="L47" s="3" t="s">
        <v>50</v>
      </c>
      <c r="M47" s="3" t="s">
        <v>179</v>
      </c>
      <c r="N47" s="9" t="s">
        <v>217</v>
      </c>
      <c r="O47" s="10" t="s">
        <v>218</v>
      </c>
      <c r="P47" s="4">
        <f t="shared" si="9"/>
        <v>36</v>
      </c>
      <c r="Q47" s="4" t="str">
        <f t="shared" si="8"/>
        <v>36-45</v>
      </c>
      <c r="R47" s="11">
        <v>1969</v>
      </c>
      <c r="S47" s="4">
        <v>10</v>
      </c>
      <c r="T47" s="4">
        <v>30</v>
      </c>
      <c r="U47" s="3" t="s">
        <v>177</v>
      </c>
      <c r="V47" s="3" t="s">
        <v>7</v>
      </c>
      <c r="W47" s="3"/>
      <c r="X47" s="3" t="s">
        <v>33</v>
      </c>
      <c r="Y47" s="4">
        <v>2</v>
      </c>
      <c r="Z47" s="3" t="s">
        <v>35</v>
      </c>
      <c r="AA47" s="3" t="s">
        <v>39</v>
      </c>
    </row>
    <row r="48" spans="2:27" ht="14.25" customHeight="1" x14ac:dyDescent="0.3">
      <c r="B48" s="34">
        <f t="shared" si="7"/>
        <v>3046</v>
      </c>
      <c r="C48" s="4">
        <v>3</v>
      </c>
      <c r="D48" s="4">
        <v>2007</v>
      </c>
      <c r="E48" s="12">
        <v>8</v>
      </c>
      <c r="F48" s="3" t="s">
        <v>1</v>
      </c>
      <c r="G48" s="4">
        <v>46</v>
      </c>
      <c r="H48" s="7">
        <v>923.20799999999997</v>
      </c>
      <c r="I48" s="22">
        <v>252185.992</v>
      </c>
      <c r="J48" s="22" t="s">
        <v>4</v>
      </c>
      <c r="K48" s="22"/>
      <c r="L48" s="3" t="s">
        <v>139</v>
      </c>
      <c r="M48" s="3" t="s">
        <v>179</v>
      </c>
      <c r="N48" s="9" t="s">
        <v>424</v>
      </c>
      <c r="O48" s="10" t="s">
        <v>425</v>
      </c>
      <c r="P48" s="4">
        <f t="shared" ref="P48:P59" si="10">IF((D48-R48)=0," ",D48-R48)</f>
        <v>36</v>
      </c>
      <c r="Q48" s="4" t="str">
        <f t="shared" si="8"/>
        <v>36-45</v>
      </c>
      <c r="R48" s="11">
        <v>1971</v>
      </c>
      <c r="S48" s="4">
        <v>5</v>
      </c>
      <c r="T48" s="4">
        <v>28.999999999999996</v>
      </c>
      <c r="U48" s="3" t="s">
        <v>175</v>
      </c>
      <c r="V48" s="3" t="s">
        <v>5</v>
      </c>
      <c r="W48" s="3" t="s">
        <v>21</v>
      </c>
      <c r="X48" s="3" t="s">
        <v>33</v>
      </c>
      <c r="Y48" s="4">
        <v>3</v>
      </c>
      <c r="Z48" s="3" t="s">
        <v>35</v>
      </c>
      <c r="AA48" s="3" t="s">
        <v>525</v>
      </c>
    </row>
    <row r="49" spans="1:27" ht="14.25" customHeight="1" x14ac:dyDescent="0.3">
      <c r="B49" s="34">
        <f t="shared" si="7"/>
        <v>1041</v>
      </c>
      <c r="C49" s="4">
        <v>1</v>
      </c>
      <c r="D49" s="4">
        <v>2005</v>
      </c>
      <c r="E49" s="4">
        <v>3</v>
      </c>
      <c r="F49" s="3" t="s">
        <v>1</v>
      </c>
      <c r="G49" s="5">
        <v>41</v>
      </c>
      <c r="H49" s="7">
        <v>1434.0927999999999</v>
      </c>
      <c r="I49" s="22">
        <v>480545.80959999998</v>
      </c>
      <c r="J49" s="22" t="s">
        <v>4</v>
      </c>
      <c r="K49" s="22"/>
      <c r="L49" s="3" t="s">
        <v>52</v>
      </c>
      <c r="M49" s="3" t="s">
        <v>179</v>
      </c>
      <c r="N49" s="9" t="s">
        <v>215</v>
      </c>
      <c r="O49" s="10" t="s">
        <v>216</v>
      </c>
      <c r="P49" s="4">
        <f t="shared" si="10"/>
        <v>37</v>
      </c>
      <c r="Q49" s="4" t="str">
        <f t="shared" si="8"/>
        <v>36-45</v>
      </c>
      <c r="R49" s="11">
        <v>1968</v>
      </c>
      <c r="S49" s="4">
        <v>8</v>
      </c>
      <c r="T49" s="4">
        <v>25</v>
      </c>
      <c r="U49" s="3" t="s">
        <v>175</v>
      </c>
      <c r="V49" s="3" t="s">
        <v>5</v>
      </c>
      <c r="W49" s="3" t="s">
        <v>13</v>
      </c>
      <c r="X49" s="3" t="s">
        <v>33</v>
      </c>
      <c r="Y49" s="4">
        <v>2</v>
      </c>
      <c r="Z49" s="3" t="s">
        <v>36</v>
      </c>
      <c r="AA49" s="3" t="s">
        <v>525</v>
      </c>
    </row>
    <row r="50" spans="1:27" ht="14.25" customHeight="1" x14ac:dyDescent="0.3">
      <c r="B50" s="34">
        <f t="shared" si="7"/>
        <v>1012</v>
      </c>
      <c r="C50" s="4">
        <v>1</v>
      </c>
      <c r="D50" s="4">
        <v>2005</v>
      </c>
      <c r="E50" s="4">
        <v>3</v>
      </c>
      <c r="F50" s="3" t="s">
        <v>1</v>
      </c>
      <c r="G50" s="5">
        <v>12</v>
      </c>
      <c r="H50" s="7">
        <v>1160.3584000000001</v>
      </c>
      <c r="I50" s="22">
        <v>300385.6176</v>
      </c>
      <c r="J50" s="22" t="s">
        <v>4</v>
      </c>
      <c r="K50" s="22"/>
      <c r="L50" s="3" t="s">
        <v>55</v>
      </c>
      <c r="M50" s="3" t="s">
        <v>179</v>
      </c>
      <c r="N50" s="9" t="s">
        <v>206</v>
      </c>
      <c r="O50" s="10" t="s">
        <v>207</v>
      </c>
      <c r="P50" s="4">
        <f t="shared" si="10"/>
        <v>37</v>
      </c>
      <c r="Q50" s="4" t="str">
        <f t="shared" si="8"/>
        <v>36-45</v>
      </c>
      <c r="R50" s="11">
        <v>1968</v>
      </c>
      <c r="S50" s="4">
        <v>9</v>
      </c>
      <c r="T50" s="4">
        <v>8</v>
      </c>
      <c r="U50" s="3" t="s">
        <v>175</v>
      </c>
      <c r="V50" s="3" t="s">
        <v>5</v>
      </c>
      <c r="W50" s="3" t="s">
        <v>13</v>
      </c>
      <c r="X50" s="3" t="s">
        <v>33</v>
      </c>
      <c r="Y50" s="4">
        <v>5</v>
      </c>
      <c r="Z50" s="3" t="s">
        <v>36</v>
      </c>
      <c r="AA50" s="3" t="s">
        <v>525</v>
      </c>
    </row>
    <row r="51" spans="1:27" ht="14.25" customHeight="1" x14ac:dyDescent="0.3">
      <c r="A51" s="11" t="s">
        <v>533</v>
      </c>
      <c r="B51" s="34">
        <f t="shared" si="7"/>
        <v>5033</v>
      </c>
      <c r="C51" s="4">
        <v>5</v>
      </c>
      <c r="D51" s="4">
        <v>2008</v>
      </c>
      <c r="E51" s="4">
        <v>5</v>
      </c>
      <c r="F51" s="3" t="s">
        <v>1</v>
      </c>
      <c r="G51" s="5">
        <v>33</v>
      </c>
      <c r="H51" s="7">
        <v>798.28440000000001</v>
      </c>
      <c r="I51" s="22">
        <v>240539.34760000001</v>
      </c>
      <c r="J51" s="22" t="s">
        <v>4</v>
      </c>
      <c r="K51" s="22"/>
      <c r="L51" s="3" t="s">
        <v>492</v>
      </c>
      <c r="M51" s="3" t="s">
        <v>179</v>
      </c>
      <c r="N51" s="9" t="s">
        <v>374</v>
      </c>
      <c r="O51" s="10" t="s">
        <v>375</v>
      </c>
      <c r="P51" s="4">
        <f t="shared" si="10"/>
        <v>37</v>
      </c>
      <c r="Q51" s="4" t="str">
        <f t="shared" si="8"/>
        <v>36-45</v>
      </c>
      <c r="R51" s="11">
        <v>1971</v>
      </c>
      <c r="S51" s="4">
        <v>8</v>
      </c>
      <c r="T51" s="4">
        <v>20</v>
      </c>
      <c r="U51" s="3" t="s">
        <v>177</v>
      </c>
      <c r="V51" s="3" t="s">
        <v>5</v>
      </c>
      <c r="W51" s="3" t="s">
        <v>13</v>
      </c>
      <c r="X51" s="3" t="s">
        <v>33</v>
      </c>
      <c r="Y51" s="4">
        <v>1</v>
      </c>
      <c r="Z51" s="3" t="s">
        <v>35</v>
      </c>
      <c r="AA51" s="3" t="s">
        <v>525</v>
      </c>
    </row>
    <row r="52" spans="1:27" ht="14.25" customHeight="1" x14ac:dyDescent="0.3">
      <c r="B52" s="34">
        <f t="shared" si="7"/>
        <v>4006</v>
      </c>
      <c r="C52" s="4">
        <v>4</v>
      </c>
      <c r="D52" s="4">
        <v>2006</v>
      </c>
      <c r="E52" s="4">
        <v>7</v>
      </c>
      <c r="F52" s="3" t="s">
        <v>1</v>
      </c>
      <c r="G52" s="5">
        <v>6</v>
      </c>
      <c r="H52" s="7">
        <v>733.18639999999994</v>
      </c>
      <c r="I52" s="22">
        <v>222138.71599999999</v>
      </c>
      <c r="J52" s="22" t="s">
        <v>4</v>
      </c>
      <c r="K52" s="22"/>
      <c r="L52" s="3" t="s">
        <v>514</v>
      </c>
      <c r="M52" s="3" t="s">
        <v>179</v>
      </c>
      <c r="N52" s="9" t="s">
        <v>461</v>
      </c>
      <c r="O52" s="10" t="s">
        <v>462</v>
      </c>
      <c r="P52" s="4">
        <f t="shared" si="10"/>
        <v>37</v>
      </c>
      <c r="Q52" s="4" t="str">
        <f t="shared" si="8"/>
        <v>36-45</v>
      </c>
      <c r="R52" s="11">
        <v>1969</v>
      </c>
      <c r="S52" s="4">
        <v>6</v>
      </c>
      <c r="T52" s="4">
        <v>5</v>
      </c>
      <c r="U52" s="3" t="s">
        <v>175</v>
      </c>
      <c r="V52" s="3" t="s">
        <v>5</v>
      </c>
      <c r="W52" s="3" t="s">
        <v>13</v>
      </c>
      <c r="X52" s="3" t="s">
        <v>33</v>
      </c>
      <c r="Y52" s="4">
        <v>3</v>
      </c>
      <c r="Z52" s="3" t="s">
        <v>35</v>
      </c>
      <c r="AA52" s="3" t="s">
        <v>525</v>
      </c>
    </row>
    <row r="53" spans="1:27" ht="14.25" customHeight="1" x14ac:dyDescent="0.3">
      <c r="B53" s="34">
        <f t="shared" si="7"/>
        <v>5040</v>
      </c>
      <c r="C53" s="4">
        <v>5</v>
      </c>
      <c r="D53" s="4">
        <v>2007</v>
      </c>
      <c r="E53" s="4">
        <v>12</v>
      </c>
      <c r="F53" s="3" t="s">
        <v>1</v>
      </c>
      <c r="G53" s="5">
        <v>40</v>
      </c>
      <c r="H53" s="7">
        <v>798.28440000000001</v>
      </c>
      <c r="I53" s="22">
        <v>228410.054</v>
      </c>
      <c r="J53" s="22" t="s">
        <v>4</v>
      </c>
      <c r="K53" s="22"/>
      <c r="L53" s="3" t="s">
        <v>160</v>
      </c>
      <c r="M53" s="3" t="s">
        <v>179</v>
      </c>
      <c r="N53" s="9" t="s">
        <v>469</v>
      </c>
      <c r="O53" s="10" t="s">
        <v>470</v>
      </c>
      <c r="P53" s="4">
        <f t="shared" si="10"/>
        <v>37</v>
      </c>
      <c r="Q53" s="4" t="str">
        <f t="shared" si="8"/>
        <v>36-45</v>
      </c>
      <c r="R53" s="11">
        <v>1970</v>
      </c>
      <c r="S53" s="4">
        <v>4</v>
      </c>
      <c r="T53" s="4">
        <v>1</v>
      </c>
      <c r="U53" s="3" t="s">
        <v>175</v>
      </c>
      <c r="V53" s="3" t="s">
        <v>5</v>
      </c>
      <c r="W53" s="3" t="s">
        <v>13</v>
      </c>
      <c r="X53" s="3" t="s">
        <v>34</v>
      </c>
      <c r="Y53" s="4">
        <v>4</v>
      </c>
      <c r="Z53" s="3" t="s">
        <v>35</v>
      </c>
      <c r="AA53" s="3" t="s">
        <v>525</v>
      </c>
    </row>
    <row r="54" spans="1:27" ht="14.25" customHeight="1" x14ac:dyDescent="0.3">
      <c r="B54" s="34">
        <f t="shared" si="7"/>
        <v>4013</v>
      </c>
      <c r="C54" s="4">
        <v>4</v>
      </c>
      <c r="D54" s="4">
        <v>2007</v>
      </c>
      <c r="E54" s="4">
        <v>1</v>
      </c>
      <c r="F54" s="3" t="s">
        <v>1</v>
      </c>
      <c r="G54" s="5">
        <v>13</v>
      </c>
      <c r="H54" s="7">
        <v>733.18639999999994</v>
      </c>
      <c r="I54" s="22">
        <v>197053.51439999999</v>
      </c>
      <c r="J54" s="22" t="s">
        <v>4</v>
      </c>
      <c r="K54" s="22"/>
      <c r="L54" s="3" t="s">
        <v>170</v>
      </c>
      <c r="M54" s="3" t="s">
        <v>179</v>
      </c>
      <c r="N54" s="9" t="s">
        <v>248</v>
      </c>
      <c r="O54" s="10" t="s">
        <v>249</v>
      </c>
      <c r="P54" s="4">
        <f t="shared" si="10"/>
        <v>37</v>
      </c>
      <c r="Q54" s="4" t="str">
        <f t="shared" si="8"/>
        <v>36-45</v>
      </c>
      <c r="R54" s="11">
        <v>1970</v>
      </c>
      <c r="S54" s="4">
        <v>7</v>
      </c>
      <c r="T54" s="4">
        <v>31</v>
      </c>
      <c r="U54" s="3" t="s">
        <v>175</v>
      </c>
      <c r="V54" s="3" t="s">
        <v>5</v>
      </c>
      <c r="W54" s="3" t="s">
        <v>19</v>
      </c>
      <c r="X54" s="3" t="s">
        <v>33</v>
      </c>
      <c r="Y54" s="4">
        <v>2</v>
      </c>
      <c r="Z54" s="3" t="s">
        <v>35</v>
      </c>
      <c r="AA54" s="3" t="s">
        <v>39</v>
      </c>
    </row>
    <row r="55" spans="1:27" ht="14.25" customHeight="1" x14ac:dyDescent="0.3">
      <c r="B55" s="34">
        <f t="shared" si="7"/>
        <v>1003</v>
      </c>
      <c r="C55" s="4">
        <v>1</v>
      </c>
      <c r="D55" s="4">
        <v>2005</v>
      </c>
      <c r="E55" s="4">
        <v>6</v>
      </c>
      <c r="F55" s="3" t="s">
        <v>0</v>
      </c>
      <c r="G55" s="5">
        <v>3</v>
      </c>
      <c r="H55" s="7">
        <v>717.04639999999995</v>
      </c>
      <c r="I55" s="22">
        <v>193660.62079999998</v>
      </c>
      <c r="J55" s="22" t="s">
        <v>4</v>
      </c>
      <c r="K55" s="22"/>
      <c r="L55" s="3" t="s">
        <v>57</v>
      </c>
      <c r="M55" s="3" t="s">
        <v>179</v>
      </c>
      <c r="N55" s="9" t="s">
        <v>228</v>
      </c>
      <c r="O55" s="10" t="s">
        <v>229</v>
      </c>
      <c r="P55" s="4">
        <f t="shared" si="10"/>
        <v>38</v>
      </c>
      <c r="Q55" s="4" t="str">
        <f t="shared" si="8"/>
        <v>36-45</v>
      </c>
      <c r="R55" s="11">
        <v>1967</v>
      </c>
      <c r="S55" s="4">
        <v>4</v>
      </c>
      <c r="T55" s="4">
        <v>13</v>
      </c>
      <c r="U55" s="3" t="s">
        <v>175</v>
      </c>
      <c r="V55" s="3" t="s">
        <v>5</v>
      </c>
      <c r="W55" s="3" t="s">
        <v>15</v>
      </c>
      <c r="X55" s="3" t="s">
        <v>33</v>
      </c>
      <c r="Y55" s="4">
        <v>1</v>
      </c>
      <c r="Z55" s="3" t="s">
        <v>36</v>
      </c>
      <c r="AA55" s="3" t="s">
        <v>525</v>
      </c>
    </row>
    <row r="56" spans="1:27" ht="14.25" customHeight="1" x14ac:dyDescent="0.3">
      <c r="B56" s="34">
        <f t="shared" si="7"/>
        <v>2009</v>
      </c>
      <c r="C56" s="4">
        <v>2</v>
      </c>
      <c r="D56" s="4">
        <v>2007</v>
      </c>
      <c r="E56" s="4">
        <v>3</v>
      </c>
      <c r="F56" s="3" t="s">
        <v>1</v>
      </c>
      <c r="G56" s="5">
        <v>9</v>
      </c>
      <c r="H56" s="7">
        <v>747.49720000000002</v>
      </c>
      <c r="I56" s="22">
        <v>237060.1488</v>
      </c>
      <c r="J56" s="22" t="s">
        <v>4</v>
      </c>
      <c r="K56" s="22"/>
      <c r="L56" s="3" t="s">
        <v>102</v>
      </c>
      <c r="M56" s="3" t="s">
        <v>179</v>
      </c>
      <c r="N56" s="9" t="s">
        <v>344</v>
      </c>
      <c r="O56" s="10" t="s">
        <v>345</v>
      </c>
      <c r="P56" s="4">
        <f t="shared" si="10"/>
        <v>38</v>
      </c>
      <c r="Q56" s="4" t="str">
        <f t="shared" si="8"/>
        <v>36-45</v>
      </c>
      <c r="R56" s="11">
        <v>1969</v>
      </c>
      <c r="S56" s="4">
        <v>4</v>
      </c>
      <c r="T56" s="4">
        <v>19</v>
      </c>
      <c r="U56" s="3" t="s">
        <v>175</v>
      </c>
      <c r="V56" s="3" t="s">
        <v>5</v>
      </c>
      <c r="W56" s="3" t="s">
        <v>19</v>
      </c>
      <c r="X56" s="3" t="s">
        <v>34</v>
      </c>
      <c r="Y56" s="4">
        <v>4</v>
      </c>
      <c r="Z56" s="3" t="s">
        <v>36</v>
      </c>
      <c r="AA56" s="3" t="s">
        <v>39</v>
      </c>
    </row>
    <row r="57" spans="1:27" ht="14.25" customHeight="1" x14ac:dyDescent="0.3">
      <c r="B57" s="34">
        <f t="shared" si="7"/>
        <v>4024</v>
      </c>
      <c r="C57" s="4">
        <v>4</v>
      </c>
      <c r="D57" s="4">
        <v>2007</v>
      </c>
      <c r="E57" s="4">
        <v>11</v>
      </c>
      <c r="F57" s="3" t="s">
        <v>1</v>
      </c>
      <c r="G57" s="5">
        <v>24</v>
      </c>
      <c r="H57" s="7">
        <v>1121.9451999999999</v>
      </c>
      <c r="I57" s="22">
        <v>372001.69679999998</v>
      </c>
      <c r="J57" s="22" t="s">
        <v>4</v>
      </c>
      <c r="K57" s="22"/>
      <c r="L57" s="3" t="s">
        <v>150</v>
      </c>
      <c r="M57" s="3" t="s">
        <v>179</v>
      </c>
      <c r="N57" s="9" t="s">
        <v>448</v>
      </c>
      <c r="O57" s="10" t="s">
        <v>449</v>
      </c>
      <c r="P57" s="4">
        <f t="shared" si="10"/>
        <v>38</v>
      </c>
      <c r="Q57" s="4" t="str">
        <f t="shared" si="8"/>
        <v>36-45</v>
      </c>
      <c r="R57" s="11">
        <v>1969</v>
      </c>
      <c r="S57" s="4">
        <v>10</v>
      </c>
      <c r="T57" s="4">
        <v>14</v>
      </c>
      <c r="U57" s="3" t="s">
        <v>177</v>
      </c>
      <c r="V57" s="3" t="s">
        <v>5</v>
      </c>
      <c r="W57" s="3" t="s">
        <v>13</v>
      </c>
      <c r="X57" s="3" t="s">
        <v>33</v>
      </c>
      <c r="Y57" s="4">
        <v>5</v>
      </c>
      <c r="Z57" s="3" t="s">
        <v>36</v>
      </c>
      <c r="AA57" s="3" t="s">
        <v>525</v>
      </c>
    </row>
    <row r="58" spans="1:27" ht="14.25" customHeight="1" x14ac:dyDescent="0.3">
      <c r="B58" s="34">
        <f t="shared" si="7"/>
        <v>4012</v>
      </c>
      <c r="C58" s="4">
        <v>4</v>
      </c>
      <c r="D58" s="4">
        <v>2007</v>
      </c>
      <c r="E58" s="4">
        <v>11</v>
      </c>
      <c r="F58" s="3" t="s">
        <v>1</v>
      </c>
      <c r="G58" s="5">
        <v>12</v>
      </c>
      <c r="H58" s="7">
        <v>1121.9451999999999</v>
      </c>
      <c r="I58" s="22">
        <v>290031.25879999995</v>
      </c>
      <c r="J58" s="22" t="s">
        <v>4</v>
      </c>
      <c r="K58" s="22"/>
      <c r="L58" s="3" t="s">
        <v>156</v>
      </c>
      <c r="M58" s="3" t="s">
        <v>179</v>
      </c>
      <c r="N58" s="9" t="s">
        <v>465</v>
      </c>
      <c r="O58" s="10" t="s">
        <v>466</v>
      </c>
      <c r="P58" s="4">
        <f t="shared" si="10"/>
        <v>38</v>
      </c>
      <c r="Q58" s="4" t="str">
        <f t="shared" si="8"/>
        <v>36-45</v>
      </c>
      <c r="R58" s="11">
        <v>1969</v>
      </c>
      <c r="S58" s="4">
        <v>10</v>
      </c>
      <c r="T58" s="4">
        <v>17</v>
      </c>
      <c r="U58" s="3" t="s">
        <v>177</v>
      </c>
      <c r="V58" s="3" t="s">
        <v>5</v>
      </c>
      <c r="W58" s="3" t="s">
        <v>13</v>
      </c>
      <c r="X58" s="3" t="s">
        <v>33</v>
      </c>
      <c r="Y58" s="4">
        <v>5</v>
      </c>
      <c r="Z58" s="3" t="s">
        <v>35</v>
      </c>
      <c r="AA58" s="3" t="s">
        <v>525</v>
      </c>
    </row>
    <row r="59" spans="1:27" ht="14.25" customHeight="1" x14ac:dyDescent="0.3">
      <c r="B59" s="34">
        <f t="shared" si="7"/>
        <v>1035</v>
      </c>
      <c r="C59" s="4">
        <v>1</v>
      </c>
      <c r="D59" s="4">
        <v>2004</v>
      </c>
      <c r="E59" s="4">
        <v>10</v>
      </c>
      <c r="F59" s="3" t="s">
        <v>1</v>
      </c>
      <c r="G59" s="5">
        <v>35</v>
      </c>
      <c r="H59" s="7">
        <v>827.87439999999992</v>
      </c>
      <c r="I59" s="22">
        <v>238811.06399999998</v>
      </c>
      <c r="J59" s="22" t="s">
        <v>4</v>
      </c>
      <c r="K59" s="22"/>
      <c r="L59" s="3" t="s">
        <v>46</v>
      </c>
      <c r="M59" s="3" t="s">
        <v>179</v>
      </c>
      <c r="N59" s="9" t="s">
        <v>190</v>
      </c>
      <c r="O59" s="10" t="s">
        <v>191</v>
      </c>
      <c r="P59" s="4">
        <f t="shared" si="10"/>
        <v>39</v>
      </c>
      <c r="Q59" s="4" t="str">
        <f t="shared" si="8"/>
        <v>36-45</v>
      </c>
      <c r="R59" s="11">
        <v>1965</v>
      </c>
      <c r="S59" s="4">
        <v>7.0000000000000009</v>
      </c>
      <c r="T59" s="4">
        <v>20</v>
      </c>
      <c r="U59" s="3" t="s">
        <v>175</v>
      </c>
      <c r="V59" s="3" t="s">
        <v>5</v>
      </c>
      <c r="W59" s="3" t="s">
        <v>14</v>
      </c>
      <c r="X59" s="3" t="s">
        <v>33</v>
      </c>
      <c r="Y59" s="4">
        <v>1</v>
      </c>
      <c r="Z59" s="3" t="s">
        <v>36</v>
      </c>
      <c r="AA59" s="3" t="s">
        <v>39</v>
      </c>
    </row>
    <row r="60" spans="1:27" ht="14.25" customHeight="1" x14ac:dyDescent="0.3">
      <c r="B60" s="34">
        <f t="shared" si="7"/>
        <v>2017</v>
      </c>
      <c r="C60" s="4">
        <v>2</v>
      </c>
      <c r="D60" s="4">
        <v>2007</v>
      </c>
      <c r="E60" s="4">
        <v>3</v>
      </c>
      <c r="F60" s="3" t="s">
        <v>1</v>
      </c>
      <c r="G60" s="5">
        <v>17</v>
      </c>
      <c r="H60" s="7">
        <v>747.49720000000002</v>
      </c>
      <c r="I60" s="22">
        <v>199054.1992</v>
      </c>
      <c r="J60" s="22" t="s">
        <v>4</v>
      </c>
      <c r="K60" s="22"/>
      <c r="L60" s="3" t="s">
        <v>103</v>
      </c>
      <c r="M60" s="3" t="s">
        <v>179</v>
      </c>
      <c r="N60" s="9" t="s">
        <v>354</v>
      </c>
      <c r="O60" s="10" t="s">
        <v>355</v>
      </c>
      <c r="P60" s="4">
        <f t="shared" ref="P60:P78" si="11">IF((D60-R60)=0," ",D60-R60)</f>
        <v>39</v>
      </c>
      <c r="Q60" s="4" t="str">
        <f t="shared" si="8"/>
        <v>36-45</v>
      </c>
      <c r="R60" s="11">
        <v>1968</v>
      </c>
      <c r="S60" s="4">
        <v>10</v>
      </c>
      <c r="T60" s="4">
        <v>11.999999999999998</v>
      </c>
      <c r="U60" s="3" t="s">
        <v>175</v>
      </c>
      <c r="V60" s="3" t="s">
        <v>5</v>
      </c>
      <c r="W60" s="3" t="s">
        <v>19</v>
      </c>
      <c r="X60" s="3" t="s">
        <v>34</v>
      </c>
      <c r="Y60" s="4">
        <v>2</v>
      </c>
      <c r="Z60" s="3" t="s">
        <v>35</v>
      </c>
      <c r="AA60" s="3" t="s">
        <v>39</v>
      </c>
    </row>
    <row r="61" spans="1:27" ht="14.25" customHeight="1" x14ac:dyDescent="0.3">
      <c r="B61" s="34">
        <f t="shared" si="7"/>
        <v>4051</v>
      </c>
      <c r="C61" s="4">
        <v>4</v>
      </c>
      <c r="D61" s="4">
        <v>2007</v>
      </c>
      <c r="E61" s="4">
        <v>3</v>
      </c>
      <c r="F61" s="3" t="s">
        <v>1</v>
      </c>
      <c r="G61" s="5">
        <v>51</v>
      </c>
      <c r="H61" s="7">
        <v>1608.8352</v>
      </c>
      <c r="I61" s="22">
        <v>496266.40639999998</v>
      </c>
      <c r="J61" s="22" t="s">
        <v>4</v>
      </c>
      <c r="K61" s="22"/>
      <c r="L61" s="3" t="s">
        <v>502</v>
      </c>
      <c r="M61" s="3" t="s">
        <v>179</v>
      </c>
      <c r="N61" s="9" t="s">
        <v>403</v>
      </c>
      <c r="O61" s="10" t="s">
        <v>404</v>
      </c>
      <c r="P61" s="4">
        <f t="shared" si="11"/>
        <v>39</v>
      </c>
      <c r="Q61" s="4" t="str">
        <f t="shared" si="8"/>
        <v>36-45</v>
      </c>
      <c r="R61" s="11">
        <v>1968</v>
      </c>
      <c r="S61" s="4">
        <v>5</v>
      </c>
      <c r="T61" s="4">
        <v>11</v>
      </c>
      <c r="U61" s="3" t="s">
        <v>177</v>
      </c>
      <c r="V61" s="3" t="s">
        <v>5</v>
      </c>
      <c r="W61" s="3" t="s">
        <v>13</v>
      </c>
      <c r="X61" s="3" t="s">
        <v>33</v>
      </c>
      <c r="Y61" s="4">
        <v>4</v>
      </c>
      <c r="Z61" s="3" t="s">
        <v>36</v>
      </c>
      <c r="AA61" s="11" t="s">
        <v>525</v>
      </c>
    </row>
    <row r="62" spans="1:27" ht="14.25" customHeight="1" x14ac:dyDescent="0.3">
      <c r="B62" s="34">
        <f t="shared" si="7"/>
        <v>3014</v>
      </c>
      <c r="C62" s="4">
        <v>3</v>
      </c>
      <c r="D62" s="4">
        <v>2007</v>
      </c>
      <c r="E62" s="12">
        <v>7</v>
      </c>
      <c r="F62" s="3" t="s">
        <v>1</v>
      </c>
      <c r="G62" s="4">
        <v>14</v>
      </c>
      <c r="H62" s="7">
        <v>1132.0595999999998</v>
      </c>
      <c r="I62" s="22">
        <v>346906.89319999993</v>
      </c>
      <c r="J62" s="22" t="s">
        <v>4</v>
      </c>
      <c r="K62" s="22"/>
      <c r="L62" s="3" t="s">
        <v>131</v>
      </c>
      <c r="M62" s="3" t="s">
        <v>179</v>
      </c>
      <c r="N62" s="9" t="s">
        <v>393</v>
      </c>
      <c r="O62" s="10" t="s">
        <v>394</v>
      </c>
      <c r="P62" s="4">
        <f t="shared" si="11"/>
        <v>39</v>
      </c>
      <c r="Q62" s="4" t="str">
        <f t="shared" si="8"/>
        <v>36-45</v>
      </c>
      <c r="R62" s="11">
        <v>1968</v>
      </c>
      <c r="S62" s="4">
        <v>12</v>
      </c>
      <c r="T62" s="4">
        <v>20</v>
      </c>
      <c r="U62" s="3" t="s">
        <v>177</v>
      </c>
      <c r="V62" s="3" t="s">
        <v>5</v>
      </c>
      <c r="W62" s="3" t="s">
        <v>13</v>
      </c>
      <c r="X62" s="3" t="s">
        <v>33</v>
      </c>
      <c r="Y62" s="4">
        <v>3</v>
      </c>
      <c r="Z62" s="3" t="s">
        <v>36</v>
      </c>
      <c r="AA62" s="3" t="s">
        <v>525</v>
      </c>
    </row>
    <row r="63" spans="1:27" ht="14.25" customHeight="1" x14ac:dyDescent="0.3">
      <c r="B63" s="34">
        <f t="shared" si="7"/>
        <v>2051</v>
      </c>
      <c r="C63" s="4">
        <v>2</v>
      </c>
      <c r="D63" s="4">
        <v>2007</v>
      </c>
      <c r="E63" s="4">
        <v>9</v>
      </c>
      <c r="F63" s="3" t="s">
        <v>1</v>
      </c>
      <c r="G63" s="5">
        <v>51</v>
      </c>
      <c r="H63" s="7">
        <v>1383.8436000000002</v>
      </c>
      <c r="I63" s="22">
        <v>376964.61560000002</v>
      </c>
      <c r="J63" s="22" t="s">
        <v>4</v>
      </c>
      <c r="K63" s="22"/>
      <c r="L63" s="3" t="s">
        <v>140</v>
      </c>
      <c r="M63" s="3" t="s">
        <v>179</v>
      </c>
      <c r="N63" s="9" t="s">
        <v>346</v>
      </c>
      <c r="O63" s="10" t="s">
        <v>347</v>
      </c>
      <c r="P63" s="4">
        <f t="shared" si="11"/>
        <v>39</v>
      </c>
      <c r="Q63" s="4" t="str">
        <f t="shared" si="8"/>
        <v>36-45</v>
      </c>
      <c r="R63" s="11">
        <v>1968</v>
      </c>
      <c r="S63" s="4">
        <v>8</v>
      </c>
      <c r="T63" s="4">
        <v>14</v>
      </c>
      <c r="U63" s="3" t="s">
        <v>177</v>
      </c>
      <c r="V63" s="3" t="s">
        <v>5</v>
      </c>
      <c r="W63" s="3" t="s">
        <v>13</v>
      </c>
      <c r="X63" s="3" t="s">
        <v>33</v>
      </c>
      <c r="Y63" s="4">
        <v>3</v>
      </c>
      <c r="Z63" s="3" t="s">
        <v>36</v>
      </c>
      <c r="AA63" s="3" t="s">
        <v>525</v>
      </c>
    </row>
    <row r="64" spans="1:27" ht="14.25" customHeight="1" x14ac:dyDescent="0.3">
      <c r="B64" s="34">
        <f t="shared" si="7"/>
        <v>2025</v>
      </c>
      <c r="C64" s="4">
        <v>2</v>
      </c>
      <c r="D64" s="4">
        <v>2007</v>
      </c>
      <c r="E64" s="4">
        <v>2</v>
      </c>
      <c r="F64" s="3" t="s">
        <v>1</v>
      </c>
      <c r="G64" s="5">
        <v>25</v>
      </c>
      <c r="H64" s="7">
        <v>927.83479999999997</v>
      </c>
      <c r="I64" s="22">
        <v>315733.15360000002</v>
      </c>
      <c r="J64" s="22" t="s">
        <v>4</v>
      </c>
      <c r="K64" s="22"/>
      <c r="L64" s="3" t="s">
        <v>100</v>
      </c>
      <c r="M64" s="3" t="s">
        <v>179</v>
      </c>
      <c r="N64" s="11" t="s">
        <v>486</v>
      </c>
      <c r="O64" s="11" t="s">
        <v>487</v>
      </c>
      <c r="P64" s="4">
        <f t="shared" si="11"/>
        <v>40</v>
      </c>
      <c r="Q64" s="4" t="str">
        <f t="shared" si="8"/>
        <v>36-45</v>
      </c>
      <c r="R64" s="11">
        <v>1967</v>
      </c>
      <c r="S64" s="4">
        <v>6</v>
      </c>
      <c r="T64" s="4">
        <v>13</v>
      </c>
      <c r="U64" s="3" t="s">
        <v>177</v>
      </c>
      <c r="V64" s="3" t="s">
        <v>6</v>
      </c>
      <c r="W64" s="3"/>
      <c r="X64" s="3" t="s">
        <v>33</v>
      </c>
      <c r="Y64" s="4">
        <v>1</v>
      </c>
      <c r="Z64" s="3" t="s">
        <v>35</v>
      </c>
      <c r="AA64" s="3" t="s">
        <v>39</v>
      </c>
    </row>
    <row r="65" spans="2:27" ht="14.25" customHeight="1" x14ac:dyDescent="0.3">
      <c r="B65" s="34">
        <f t="shared" si="7"/>
        <v>3047</v>
      </c>
      <c r="C65" s="4">
        <v>3</v>
      </c>
      <c r="D65" s="4">
        <v>2007</v>
      </c>
      <c r="E65" s="12">
        <v>3</v>
      </c>
      <c r="F65" s="3" t="s">
        <v>1</v>
      </c>
      <c r="G65" s="4">
        <v>47</v>
      </c>
      <c r="H65" s="7">
        <v>669.1644</v>
      </c>
      <c r="I65" s="22">
        <v>188273.7304</v>
      </c>
      <c r="J65" s="22" t="s">
        <v>4</v>
      </c>
      <c r="K65" s="22"/>
      <c r="L65" s="3" t="s">
        <v>105</v>
      </c>
      <c r="M65" s="3" t="s">
        <v>179</v>
      </c>
      <c r="N65" s="9" t="s">
        <v>352</v>
      </c>
      <c r="O65" s="10" t="s">
        <v>353</v>
      </c>
      <c r="P65" s="4">
        <f t="shared" si="11"/>
        <v>40</v>
      </c>
      <c r="Q65" s="4" t="str">
        <f t="shared" si="8"/>
        <v>36-45</v>
      </c>
      <c r="R65" s="11">
        <v>1967</v>
      </c>
      <c r="S65" s="4">
        <v>1</v>
      </c>
      <c r="T65" s="4">
        <v>19</v>
      </c>
      <c r="U65" s="3" t="s">
        <v>177</v>
      </c>
      <c r="V65" s="3" t="s">
        <v>5</v>
      </c>
      <c r="W65" s="3" t="s">
        <v>13</v>
      </c>
      <c r="X65" s="3" t="s">
        <v>34</v>
      </c>
      <c r="Y65" s="4">
        <v>2</v>
      </c>
      <c r="Z65" s="3" t="s">
        <v>36</v>
      </c>
      <c r="AA65" s="3" t="s">
        <v>39</v>
      </c>
    </row>
    <row r="66" spans="2:27" ht="14.25" customHeight="1" x14ac:dyDescent="0.3">
      <c r="B66" s="34">
        <f t="shared" si="7"/>
        <v>2046</v>
      </c>
      <c r="C66" s="4">
        <v>2</v>
      </c>
      <c r="D66" s="4">
        <v>2007</v>
      </c>
      <c r="E66" s="4">
        <v>3</v>
      </c>
      <c r="F66" s="3" t="s">
        <v>1</v>
      </c>
      <c r="G66" s="5">
        <v>46</v>
      </c>
      <c r="H66" s="7">
        <v>928.1576</v>
      </c>
      <c r="I66" s="22">
        <v>253831.02480000001</v>
      </c>
      <c r="J66" s="22" t="s">
        <v>4</v>
      </c>
      <c r="K66" s="22"/>
      <c r="L66" s="3" t="s">
        <v>106</v>
      </c>
      <c r="M66" s="3" t="s">
        <v>179</v>
      </c>
      <c r="N66" s="9" t="s">
        <v>358</v>
      </c>
      <c r="O66" s="10" t="s">
        <v>359</v>
      </c>
      <c r="P66" s="4">
        <f t="shared" si="11"/>
        <v>40</v>
      </c>
      <c r="Q66" s="4" t="str">
        <f t="shared" si="8"/>
        <v>36-45</v>
      </c>
      <c r="R66" s="11">
        <v>1967</v>
      </c>
      <c r="S66" s="4">
        <v>2</v>
      </c>
      <c r="T66" s="4">
        <v>7</v>
      </c>
      <c r="U66" s="3" t="s">
        <v>175</v>
      </c>
      <c r="V66" s="3" t="s">
        <v>5</v>
      </c>
      <c r="W66" s="3" t="s">
        <v>13</v>
      </c>
      <c r="X66" s="3" t="s">
        <v>33</v>
      </c>
      <c r="Y66" s="4">
        <v>2</v>
      </c>
      <c r="Z66" s="3" t="s">
        <v>36</v>
      </c>
      <c r="AA66" s="3" t="s">
        <v>39</v>
      </c>
    </row>
    <row r="67" spans="2:27" ht="14.25" customHeight="1" x14ac:dyDescent="0.3">
      <c r="B67" s="34">
        <f t="shared" si="7"/>
        <v>5016</v>
      </c>
      <c r="C67" s="4">
        <v>5</v>
      </c>
      <c r="D67" s="4">
        <v>2007</v>
      </c>
      <c r="E67" s="4">
        <v>6</v>
      </c>
      <c r="F67" s="3" t="s">
        <v>1</v>
      </c>
      <c r="G67" s="5">
        <v>16</v>
      </c>
      <c r="H67" s="7">
        <v>798.49959999999987</v>
      </c>
      <c r="I67" s="22">
        <v>278575.86879999994</v>
      </c>
      <c r="J67" s="22" t="s">
        <v>4</v>
      </c>
      <c r="K67" s="22"/>
      <c r="L67" s="3" t="s">
        <v>501</v>
      </c>
      <c r="M67" s="3" t="s">
        <v>179</v>
      </c>
      <c r="N67" s="9" t="s">
        <v>395</v>
      </c>
      <c r="O67" s="10" t="s">
        <v>396</v>
      </c>
      <c r="P67" s="4">
        <f t="shared" si="11"/>
        <v>40</v>
      </c>
      <c r="Q67" s="4" t="str">
        <f t="shared" si="8"/>
        <v>36-45</v>
      </c>
      <c r="R67" s="11">
        <v>1967</v>
      </c>
      <c r="S67" s="4">
        <v>2</v>
      </c>
      <c r="T67" s="4">
        <v>2.9999999999999996</v>
      </c>
      <c r="U67" s="3" t="s">
        <v>177</v>
      </c>
      <c r="V67" s="3" t="s">
        <v>5</v>
      </c>
      <c r="W67" s="3" t="s">
        <v>18</v>
      </c>
      <c r="X67" s="3" t="s">
        <v>34</v>
      </c>
      <c r="Y67" s="4">
        <v>2</v>
      </c>
      <c r="Z67" s="3" t="s">
        <v>35</v>
      </c>
      <c r="AA67" s="3" t="s">
        <v>182</v>
      </c>
    </row>
    <row r="68" spans="2:27" ht="14.25" customHeight="1" x14ac:dyDescent="0.3">
      <c r="B68" s="34">
        <f t="shared" si="7"/>
        <v>4041</v>
      </c>
      <c r="C68" s="4">
        <v>4</v>
      </c>
      <c r="D68" s="4">
        <v>2007</v>
      </c>
      <c r="E68" s="4">
        <v>10</v>
      </c>
      <c r="F68" s="3" t="s">
        <v>1</v>
      </c>
      <c r="G68" s="5">
        <v>41</v>
      </c>
      <c r="H68" s="7">
        <v>1305.6184000000001</v>
      </c>
      <c r="I68" s="22">
        <v>402081.79600000003</v>
      </c>
      <c r="J68" s="22" t="s">
        <v>4</v>
      </c>
      <c r="K68" s="22"/>
      <c r="L68" s="3" t="s">
        <v>149</v>
      </c>
      <c r="M68" s="3" t="s">
        <v>179</v>
      </c>
      <c r="N68" s="9" t="s">
        <v>246</v>
      </c>
      <c r="O68" s="10" t="s">
        <v>247</v>
      </c>
      <c r="P68" s="4">
        <f t="shared" si="11"/>
        <v>40</v>
      </c>
      <c r="Q68" s="4" t="str">
        <f t="shared" si="8"/>
        <v>36-45</v>
      </c>
      <c r="R68" s="11">
        <v>1967</v>
      </c>
      <c r="S68" s="4">
        <v>5</v>
      </c>
      <c r="T68" s="4">
        <v>11.999999999999998</v>
      </c>
      <c r="U68" s="3" t="s">
        <v>175</v>
      </c>
      <c r="V68" s="3" t="s">
        <v>5</v>
      </c>
      <c r="W68" s="3" t="s">
        <v>17</v>
      </c>
      <c r="X68" s="3" t="s">
        <v>33</v>
      </c>
      <c r="Y68" s="4">
        <v>5</v>
      </c>
      <c r="Z68" s="3" t="s">
        <v>35</v>
      </c>
      <c r="AA68" s="3" t="s">
        <v>39</v>
      </c>
    </row>
    <row r="69" spans="2:27" ht="14.25" customHeight="1" x14ac:dyDescent="0.3">
      <c r="B69" s="34">
        <f t="shared" si="7"/>
        <v>4018</v>
      </c>
      <c r="C69" s="4">
        <v>4</v>
      </c>
      <c r="D69" s="4">
        <v>2007</v>
      </c>
      <c r="E69" s="4">
        <v>11</v>
      </c>
      <c r="F69" s="3" t="s">
        <v>1</v>
      </c>
      <c r="G69" s="5">
        <v>18</v>
      </c>
      <c r="H69" s="7">
        <v>1121.9451999999999</v>
      </c>
      <c r="I69" s="22">
        <v>310832.58759999997</v>
      </c>
      <c r="J69" s="22" t="s">
        <v>4</v>
      </c>
      <c r="K69" s="22"/>
      <c r="L69" s="3" t="s">
        <v>158</v>
      </c>
      <c r="M69" s="3" t="s">
        <v>179</v>
      </c>
      <c r="N69" s="9" t="s">
        <v>475</v>
      </c>
      <c r="O69" s="10" t="s">
        <v>476</v>
      </c>
      <c r="P69" s="4">
        <f t="shared" si="11"/>
        <v>40</v>
      </c>
      <c r="Q69" s="4" t="str">
        <f t="shared" si="8"/>
        <v>36-45</v>
      </c>
      <c r="R69" s="11">
        <v>1967</v>
      </c>
      <c r="S69" s="4">
        <v>10</v>
      </c>
      <c r="T69" s="4">
        <v>17</v>
      </c>
      <c r="U69" s="3" t="s">
        <v>177</v>
      </c>
      <c r="V69" s="3" t="s">
        <v>5</v>
      </c>
      <c r="W69" s="3" t="s">
        <v>13</v>
      </c>
      <c r="X69" s="3" t="s">
        <v>33</v>
      </c>
      <c r="Y69" s="4">
        <v>5</v>
      </c>
      <c r="Z69" s="3" t="s">
        <v>35</v>
      </c>
      <c r="AA69" s="3" t="s">
        <v>525</v>
      </c>
    </row>
    <row r="70" spans="2:27" ht="14.25" customHeight="1" x14ac:dyDescent="0.3">
      <c r="B70" s="34">
        <f t="shared" ref="B70:B101" si="12">C70*1000+G70</f>
        <v>2005</v>
      </c>
      <c r="C70" s="4">
        <v>2</v>
      </c>
      <c r="D70" s="4">
        <v>2006</v>
      </c>
      <c r="E70" s="4">
        <v>9</v>
      </c>
      <c r="F70" s="3" t="s">
        <v>1</v>
      </c>
      <c r="G70" s="5">
        <v>5</v>
      </c>
      <c r="H70" s="7">
        <v>785.48</v>
      </c>
      <c r="I70" s="22">
        <v>257183.48</v>
      </c>
      <c r="J70" s="22" t="s">
        <v>4</v>
      </c>
      <c r="K70" s="22"/>
      <c r="L70" s="3" t="s">
        <v>80</v>
      </c>
      <c r="M70" s="3" t="s">
        <v>179</v>
      </c>
      <c r="N70" s="9" t="s">
        <v>268</v>
      </c>
      <c r="O70" s="10" t="s">
        <v>269</v>
      </c>
      <c r="P70" s="4">
        <f t="shared" si="11"/>
        <v>41</v>
      </c>
      <c r="Q70" s="4" t="str">
        <f t="shared" ref="Q70:Q101" si="13">IF(P70&lt;26,"18-25",IF(P70&lt;36,"26-35",IF(P70&lt;46,"36-45",IF(P70&lt;56,"46-55",IF(P70&lt;66,"56-65","65+")))))</f>
        <v>36-45</v>
      </c>
      <c r="R70" s="11">
        <v>1965</v>
      </c>
      <c r="S70" s="4">
        <v>1</v>
      </c>
      <c r="T70" s="4">
        <v>11</v>
      </c>
      <c r="U70" s="3" t="s">
        <v>177</v>
      </c>
      <c r="V70" s="3" t="s">
        <v>8</v>
      </c>
      <c r="W70" s="3"/>
      <c r="X70" s="3" t="s">
        <v>34</v>
      </c>
      <c r="Y70" s="4">
        <v>1</v>
      </c>
      <c r="Z70" s="3" t="s">
        <v>35</v>
      </c>
      <c r="AA70" s="3" t="s">
        <v>39</v>
      </c>
    </row>
    <row r="71" spans="2:27" ht="14.25" customHeight="1" x14ac:dyDescent="0.3">
      <c r="B71" s="34">
        <f t="shared" si="12"/>
        <v>2010</v>
      </c>
      <c r="C71" s="4">
        <v>2</v>
      </c>
      <c r="D71" s="4">
        <v>2006</v>
      </c>
      <c r="E71" s="4">
        <v>11</v>
      </c>
      <c r="F71" s="3" t="s">
        <v>1</v>
      </c>
      <c r="G71" s="5">
        <v>10</v>
      </c>
      <c r="H71" s="7">
        <v>927.08159999999998</v>
      </c>
      <c r="I71" s="22">
        <v>326885.33600000001</v>
      </c>
      <c r="J71" s="22" t="s">
        <v>4</v>
      </c>
      <c r="K71" s="22"/>
      <c r="L71" s="3" t="s">
        <v>90</v>
      </c>
      <c r="M71" s="3" t="s">
        <v>179</v>
      </c>
      <c r="N71" s="9" t="s">
        <v>306</v>
      </c>
      <c r="O71" s="10" t="s">
        <v>307</v>
      </c>
      <c r="P71" s="4">
        <f t="shared" si="11"/>
        <v>41</v>
      </c>
      <c r="Q71" s="4" t="str">
        <f t="shared" si="13"/>
        <v>36-45</v>
      </c>
      <c r="R71" s="11">
        <v>1965</v>
      </c>
      <c r="S71" s="4">
        <v>1</v>
      </c>
      <c r="T71" s="4">
        <v>23.999999999999996</v>
      </c>
      <c r="U71" s="3" t="s">
        <v>177</v>
      </c>
      <c r="V71" s="3" t="s">
        <v>5</v>
      </c>
      <c r="W71" s="3" t="s">
        <v>13</v>
      </c>
      <c r="X71" s="3" t="s">
        <v>33</v>
      </c>
      <c r="Y71" s="4">
        <v>4</v>
      </c>
      <c r="Z71" s="3" t="s">
        <v>36</v>
      </c>
      <c r="AA71" s="3" t="s">
        <v>39</v>
      </c>
    </row>
    <row r="72" spans="2:27" ht="14.25" customHeight="1" x14ac:dyDescent="0.3">
      <c r="B72" s="34">
        <f t="shared" si="12"/>
        <v>2022</v>
      </c>
      <c r="C72" s="4">
        <v>2</v>
      </c>
      <c r="D72" s="4">
        <v>2007</v>
      </c>
      <c r="E72" s="4">
        <v>1</v>
      </c>
      <c r="F72" s="3" t="s">
        <v>1</v>
      </c>
      <c r="G72" s="5">
        <v>22</v>
      </c>
      <c r="H72" s="7">
        <v>1109.2483999999999</v>
      </c>
      <c r="I72" s="22">
        <v>344568.74280000001</v>
      </c>
      <c r="J72" s="22" t="s">
        <v>4</v>
      </c>
      <c r="K72" s="22"/>
      <c r="L72" s="3" t="s">
        <v>96</v>
      </c>
      <c r="M72" s="3" t="s">
        <v>179</v>
      </c>
      <c r="N72" s="9" t="s">
        <v>333</v>
      </c>
      <c r="O72" s="10" t="s">
        <v>334</v>
      </c>
      <c r="P72" s="4">
        <f t="shared" si="11"/>
        <v>41</v>
      </c>
      <c r="Q72" s="4" t="str">
        <f t="shared" si="13"/>
        <v>36-45</v>
      </c>
      <c r="R72" s="11">
        <v>1966</v>
      </c>
      <c r="S72" s="4">
        <v>2</v>
      </c>
      <c r="T72" s="4">
        <v>26</v>
      </c>
      <c r="U72" s="3" t="s">
        <v>177</v>
      </c>
      <c r="V72" s="3" t="s">
        <v>5</v>
      </c>
      <c r="W72" s="3" t="s">
        <v>19</v>
      </c>
      <c r="X72" s="3" t="s">
        <v>33</v>
      </c>
      <c r="Y72" s="4">
        <v>5</v>
      </c>
      <c r="Z72" s="3" t="s">
        <v>36</v>
      </c>
      <c r="AA72" s="3" t="s">
        <v>39</v>
      </c>
    </row>
    <row r="73" spans="2:27" ht="14.25" customHeight="1" x14ac:dyDescent="0.3">
      <c r="B73" s="34">
        <f t="shared" si="12"/>
        <v>2047</v>
      </c>
      <c r="C73" s="4">
        <v>2</v>
      </c>
      <c r="D73" s="4">
        <v>2007</v>
      </c>
      <c r="E73" s="4">
        <v>2</v>
      </c>
      <c r="F73" s="3" t="s">
        <v>1</v>
      </c>
      <c r="G73" s="5">
        <v>47</v>
      </c>
      <c r="H73" s="7">
        <v>649.79639999999995</v>
      </c>
      <c r="I73" s="22">
        <v>214631.68039999998</v>
      </c>
      <c r="J73" s="22" t="s">
        <v>4</v>
      </c>
      <c r="K73" s="22"/>
      <c r="L73" s="3" t="s">
        <v>98</v>
      </c>
      <c r="M73" s="3" t="s">
        <v>179</v>
      </c>
      <c r="N73" s="9" t="s">
        <v>338</v>
      </c>
      <c r="O73" s="10" t="s">
        <v>339</v>
      </c>
      <c r="P73" s="4">
        <f t="shared" si="11"/>
        <v>41</v>
      </c>
      <c r="Q73" s="4" t="str">
        <f t="shared" si="13"/>
        <v>36-45</v>
      </c>
      <c r="R73" s="11">
        <v>1966</v>
      </c>
      <c r="S73" s="4">
        <v>6</v>
      </c>
      <c r="T73" s="4">
        <v>17</v>
      </c>
      <c r="U73" s="3" t="s">
        <v>175</v>
      </c>
      <c r="V73" s="3" t="s">
        <v>5</v>
      </c>
      <c r="W73" s="3" t="s">
        <v>18</v>
      </c>
      <c r="X73" s="3" t="s">
        <v>34</v>
      </c>
      <c r="Y73" s="4">
        <v>3</v>
      </c>
      <c r="Z73" s="3" t="s">
        <v>35</v>
      </c>
      <c r="AA73" s="3" t="s">
        <v>39</v>
      </c>
    </row>
    <row r="74" spans="2:27" ht="14.25" customHeight="1" x14ac:dyDescent="0.3">
      <c r="B74" s="34">
        <f t="shared" si="12"/>
        <v>2012</v>
      </c>
      <c r="C74" s="4">
        <v>2</v>
      </c>
      <c r="D74" s="4">
        <v>2007</v>
      </c>
      <c r="E74" s="4">
        <v>4</v>
      </c>
      <c r="F74" s="3" t="s">
        <v>1</v>
      </c>
      <c r="G74" s="5">
        <v>12</v>
      </c>
      <c r="H74" s="7">
        <v>785.48</v>
      </c>
      <c r="I74" s="22">
        <v>237207.67999999999</v>
      </c>
      <c r="J74" s="22" t="s">
        <v>4</v>
      </c>
      <c r="K74" s="22"/>
      <c r="L74" s="3" t="s">
        <v>117</v>
      </c>
      <c r="M74" s="3" t="s">
        <v>179</v>
      </c>
      <c r="N74" s="9" t="s">
        <v>385</v>
      </c>
      <c r="O74" s="10" t="s">
        <v>386</v>
      </c>
      <c r="P74" s="4">
        <f t="shared" si="11"/>
        <v>41</v>
      </c>
      <c r="Q74" s="4" t="str">
        <f t="shared" si="13"/>
        <v>36-45</v>
      </c>
      <c r="R74" s="11">
        <v>1966</v>
      </c>
      <c r="S74" s="4">
        <v>5</v>
      </c>
      <c r="T74" s="4">
        <v>26</v>
      </c>
      <c r="U74" s="3" t="s">
        <v>177</v>
      </c>
      <c r="V74" s="3" t="s">
        <v>5</v>
      </c>
      <c r="W74" s="3" t="s">
        <v>13</v>
      </c>
      <c r="X74" s="3" t="s">
        <v>33</v>
      </c>
      <c r="Y74" s="4">
        <v>5</v>
      </c>
      <c r="Z74" s="3" t="s">
        <v>35</v>
      </c>
      <c r="AA74" s="3" t="s">
        <v>525</v>
      </c>
    </row>
    <row r="75" spans="2:27" ht="14.25" customHeight="1" x14ac:dyDescent="0.3">
      <c r="B75" s="34">
        <f t="shared" si="12"/>
        <v>3038</v>
      </c>
      <c r="C75" s="4">
        <v>3</v>
      </c>
      <c r="D75" s="4">
        <v>2007</v>
      </c>
      <c r="E75" s="12">
        <v>5</v>
      </c>
      <c r="F75" s="3" t="s">
        <v>1</v>
      </c>
      <c r="G75" s="4">
        <v>38</v>
      </c>
      <c r="H75" s="7">
        <v>1596.3536000000001</v>
      </c>
      <c r="I75" s="22">
        <v>464549.19040000002</v>
      </c>
      <c r="J75" s="22" t="s">
        <v>4</v>
      </c>
      <c r="K75" s="22"/>
      <c r="L75" s="3" t="s">
        <v>120</v>
      </c>
      <c r="M75" s="3" t="s">
        <v>179</v>
      </c>
      <c r="N75" s="9" t="s">
        <v>389</v>
      </c>
      <c r="O75" s="10" t="s">
        <v>390</v>
      </c>
      <c r="P75" s="4">
        <f t="shared" si="11"/>
        <v>41</v>
      </c>
      <c r="Q75" s="4" t="str">
        <f t="shared" si="13"/>
        <v>36-45</v>
      </c>
      <c r="R75" s="11">
        <v>1966</v>
      </c>
      <c r="S75" s="4">
        <v>8</v>
      </c>
      <c r="T75" s="4">
        <v>11</v>
      </c>
      <c r="U75" s="3" t="s">
        <v>175</v>
      </c>
      <c r="V75" s="3" t="s">
        <v>5</v>
      </c>
      <c r="W75" s="3" t="s">
        <v>13</v>
      </c>
      <c r="X75" s="3" t="s">
        <v>33</v>
      </c>
      <c r="Y75" s="4">
        <v>4</v>
      </c>
      <c r="Z75" s="3" t="s">
        <v>35</v>
      </c>
      <c r="AA75" s="3" t="s">
        <v>525</v>
      </c>
    </row>
    <row r="76" spans="2:27" ht="14.25" customHeight="1" x14ac:dyDescent="0.3">
      <c r="B76" s="34">
        <f t="shared" si="12"/>
        <v>4030</v>
      </c>
      <c r="C76" s="4">
        <v>4</v>
      </c>
      <c r="D76" s="4">
        <v>2007</v>
      </c>
      <c r="E76" s="4">
        <v>11</v>
      </c>
      <c r="F76" s="3" t="s">
        <v>1</v>
      </c>
      <c r="G76" s="5">
        <v>30</v>
      </c>
      <c r="H76" s="7">
        <v>1121.9451999999999</v>
      </c>
      <c r="I76" s="22">
        <v>310577.03959999996</v>
      </c>
      <c r="J76" s="22" t="s">
        <v>4</v>
      </c>
      <c r="K76" s="22"/>
      <c r="L76" s="3" t="s">
        <v>157</v>
      </c>
      <c r="M76" s="3" t="s">
        <v>179</v>
      </c>
      <c r="N76" s="9" t="s">
        <v>463</v>
      </c>
      <c r="O76" s="10" t="s">
        <v>464</v>
      </c>
      <c r="P76" s="4">
        <f t="shared" si="11"/>
        <v>41</v>
      </c>
      <c r="Q76" s="4" t="str">
        <f t="shared" si="13"/>
        <v>36-45</v>
      </c>
      <c r="R76" s="11">
        <v>1966</v>
      </c>
      <c r="S76" s="4">
        <v>9</v>
      </c>
      <c r="T76" s="4">
        <v>14</v>
      </c>
      <c r="U76" s="3" t="s">
        <v>175</v>
      </c>
      <c r="V76" s="3" t="s">
        <v>5</v>
      </c>
      <c r="W76" s="3" t="s">
        <v>13</v>
      </c>
      <c r="X76" s="3" t="s">
        <v>33</v>
      </c>
      <c r="Y76" s="4">
        <v>4</v>
      </c>
      <c r="Z76" s="3" t="s">
        <v>36</v>
      </c>
      <c r="AA76" s="3" t="s">
        <v>39</v>
      </c>
    </row>
    <row r="77" spans="2:27" ht="14.25" customHeight="1" x14ac:dyDescent="0.3">
      <c r="B77" s="34">
        <f t="shared" si="12"/>
        <v>3017</v>
      </c>
      <c r="C77" s="4">
        <v>3</v>
      </c>
      <c r="D77" s="4">
        <v>2007</v>
      </c>
      <c r="E77" s="12">
        <v>12</v>
      </c>
      <c r="F77" s="3" t="s">
        <v>1</v>
      </c>
      <c r="G77" s="4">
        <v>17</v>
      </c>
      <c r="H77" s="7">
        <v>743.40840000000003</v>
      </c>
      <c r="I77" s="22">
        <v>205098.2108</v>
      </c>
      <c r="J77" s="22" t="s">
        <v>4</v>
      </c>
      <c r="K77" s="22"/>
      <c r="L77" s="3" t="s">
        <v>164</v>
      </c>
      <c r="M77" s="3" t="s">
        <v>179</v>
      </c>
      <c r="N77" s="9" t="s">
        <v>260</v>
      </c>
      <c r="O77" s="10" t="s">
        <v>261</v>
      </c>
      <c r="P77" s="4">
        <f t="shared" si="11"/>
        <v>41</v>
      </c>
      <c r="Q77" s="4" t="str">
        <f t="shared" si="13"/>
        <v>36-45</v>
      </c>
      <c r="R77" s="11">
        <v>1966</v>
      </c>
      <c r="S77" s="4">
        <v>9</v>
      </c>
      <c r="T77" s="4">
        <v>14</v>
      </c>
      <c r="U77" s="3" t="s">
        <v>175</v>
      </c>
      <c r="V77" s="3" t="s">
        <v>10</v>
      </c>
      <c r="W77" s="3" t="s">
        <v>13</v>
      </c>
      <c r="X77" s="3" t="s">
        <v>34</v>
      </c>
      <c r="Y77" s="4">
        <v>5</v>
      </c>
      <c r="Z77" s="3" t="s">
        <v>35</v>
      </c>
      <c r="AA77" s="3" t="s">
        <v>39</v>
      </c>
    </row>
    <row r="78" spans="2:27" ht="14.25" customHeight="1" x14ac:dyDescent="0.3">
      <c r="B78" s="34">
        <f t="shared" si="12"/>
        <v>1045</v>
      </c>
      <c r="C78" s="4">
        <v>1</v>
      </c>
      <c r="D78" s="4">
        <v>2004</v>
      </c>
      <c r="E78" s="4">
        <v>10</v>
      </c>
      <c r="F78" s="3" t="s">
        <v>1</v>
      </c>
      <c r="G78" s="5">
        <v>45</v>
      </c>
      <c r="H78" s="7">
        <v>756.21280000000002</v>
      </c>
      <c r="I78" s="22">
        <v>248525.11680000002</v>
      </c>
      <c r="J78" s="22" t="s">
        <v>4</v>
      </c>
      <c r="K78" s="22"/>
      <c r="L78" s="3" t="s">
        <v>45</v>
      </c>
      <c r="M78" s="3" t="s">
        <v>179</v>
      </c>
      <c r="N78" s="9" t="s">
        <v>202</v>
      </c>
      <c r="O78" s="10" t="s">
        <v>203</v>
      </c>
      <c r="P78" s="4">
        <f t="shared" si="11"/>
        <v>42</v>
      </c>
      <c r="Q78" s="4" t="str">
        <f t="shared" si="13"/>
        <v>36-45</v>
      </c>
      <c r="R78" s="11">
        <v>1962</v>
      </c>
      <c r="S78" s="4">
        <v>11</v>
      </c>
      <c r="T78" s="4">
        <v>26</v>
      </c>
      <c r="U78" s="3" t="s">
        <v>175</v>
      </c>
      <c r="V78" s="3" t="s">
        <v>5</v>
      </c>
      <c r="W78" s="3" t="s">
        <v>13</v>
      </c>
      <c r="X78" s="3" t="s">
        <v>33</v>
      </c>
      <c r="Y78" s="4">
        <v>1</v>
      </c>
      <c r="Z78" s="3" t="s">
        <v>35</v>
      </c>
      <c r="AA78" s="3" t="s">
        <v>525</v>
      </c>
    </row>
    <row r="79" spans="2:27" ht="14.25" customHeight="1" x14ac:dyDescent="0.3">
      <c r="B79" s="34">
        <f t="shared" si="12"/>
        <v>2040</v>
      </c>
      <c r="C79" s="4">
        <v>2</v>
      </c>
      <c r="D79" s="4">
        <v>2006</v>
      </c>
      <c r="E79" s="4">
        <v>10</v>
      </c>
      <c r="F79" s="3" t="s">
        <v>1</v>
      </c>
      <c r="G79" s="5">
        <v>40</v>
      </c>
      <c r="H79" s="7">
        <v>649.79639999999995</v>
      </c>
      <c r="I79" s="22">
        <v>224463.86599999998</v>
      </c>
      <c r="J79" s="22" t="s">
        <v>4</v>
      </c>
      <c r="K79" s="22"/>
      <c r="L79" s="3" t="s">
        <v>86</v>
      </c>
      <c r="M79" s="3" t="s">
        <v>179</v>
      </c>
      <c r="N79" s="9" t="s">
        <v>312</v>
      </c>
      <c r="O79" s="10" t="s">
        <v>313</v>
      </c>
      <c r="P79" s="4">
        <f>IF((D79-R79)=0," ",D79-R79)</f>
        <v>42</v>
      </c>
      <c r="Q79" s="4" t="str">
        <f t="shared" si="13"/>
        <v>36-45</v>
      </c>
      <c r="R79" s="11">
        <v>1964</v>
      </c>
      <c r="S79" s="4">
        <v>12</v>
      </c>
      <c r="T79" s="4">
        <v>7</v>
      </c>
      <c r="U79" s="3" t="s">
        <v>175</v>
      </c>
      <c r="V79" s="3" t="s">
        <v>5</v>
      </c>
      <c r="W79" s="3" t="s">
        <v>18</v>
      </c>
      <c r="X79" s="3" t="s">
        <v>34</v>
      </c>
      <c r="Y79" s="4">
        <v>5</v>
      </c>
      <c r="Z79" s="3" t="s">
        <v>35</v>
      </c>
      <c r="AA79" s="3" t="s">
        <v>39</v>
      </c>
    </row>
    <row r="80" spans="2:27" ht="14.25" customHeight="1" x14ac:dyDescent="0.3">
      <c r="B80" s="34">
        <f t="shared" si="12"/>
        <v>2042</v>
      </c>
      <c r="C80" s="4">
        <v>2</v>
      </c>
      <c r="D80" s="4">
        <v>2006</v>
      </c>
      <c r="E80" s="4">
        <v>11</v>
      </c>
      <c r="F80" s="3" t="s">
        <v>1</v>
      </c>
      <c r="G80" s="5">
        <v>42</v>
      </c>
      <c r="H80" s="7">
        <v>785.48</v>
      </c>
      <c r="I80" s="22">
        <v>220606.28</v>
      </c>
      <c r="J80" s="22" t="s">
        <v>4</v>
      </c>
      <c r="K80" s="22"/>
      <c r="L80" s="3" t="s">
        <v>88</v>
      </c>
      <c r="M80" s="3" t="s">
        <v>179</v>
      </c>
      <c r="N80" s="9" t="s">
        <v>302</v>
      </c>
      <c r="O80" s="10" t="s">
        <v>303</v>
      </c>
      <c r="P80" s="4">
        <f>IF((D80-R80)=0," ",D80-R80)</f>
        <v>42</v>
      </c>
      <c r="Q80" s="4" t="str">
        <f t="shared" si="13"/>
        <v>36-45</v>
      </c>
      <c r="R80" s="11">
        <v>1964</v>
      </c>
      <c r="S80" s="4">
        <v>11</v>
      </c>
      <c r="T80" s="4">
        <v>30</v>
      </c>
      <c r="U80" s="3" t="s">
        <v>177</v>
      </c>
      <c r="V80" s="3" t="s">
        <v>5</v>
      </c>
      <c r="W80" s="3" t="s">
        <v>13</v>
      </c>
      <c r="X80" s="3" t="s">
        <v>33</v>
      </c>
      <c r="Y80" s="4">
        <v>4</v>
      </c>
      <c r="Z80" s="3" t="s">
        <v>35</v>
      </c>
      <c r="AA80" s="3" t="s">
        <v>525</v>
      </c>
    </row>
    <row r="81" spans="2:27" ht="14.25" customHeight="1" x14ac:dyDescent="0.3">
      <c r="B81" s="34">
        <f t="shared" si="12"/>
        <v>2048</v>
      </c>
      <c r="C81" s="4">
        <v>2</v>
      </c>
      <c r="D81" s="4">
        <v>2007</v>
      </c>
      <c r="E81" s="4">
        <v>3</v>
      </c>
      <c r="F81" s="3" t="s">
        <v>1</v>
      </c>
      <c r="G81" s="5">
        <v>48</v>
      </c>
      <c r="H81" s="7">
        <v>785.48</v>
      </c>
      <c r="I81" s="22">
        <v>220865</v>
      </c>
      <c r="J81" s="22" t="s">
        <v>4</v>
      </c>
      <c r="K81" s="22"/>
      <c r="L81" s="3" t="s">
        <v>111</v>
      </c>
      <c r="M81" s="3" t="s">
        <v>179</v>
      </c>
      <c r="N81" s="9" t="s">
        <v>370</v>
      </c>
      <c r="O81" s="10" t="s">
        <v>371</v>
      </c>
      <c r="P81" s="4">
        <f>IF((D81-R81)=0," ",D81-R81)</f>
        <v>42</v>
      </c>
      <c r="Q81" s="4" t="str">
        <f t="shared" si="13"/>
        <v>36-45</v>
      </c>
      <c r="R81" s="11">
        <v>1965</v>
      </c>
      <c r="S81" s="4">
        <v>4</v>
      </c>
      <c r="T81" s="4">
        <v>4</v>
      </c>
      <c r="U81" s="3" t="s">
        <v>175</v>
      </c>
      <c r="V81" s="3" t="s">
        <v>5</v>
      </c>
      <c r="W81" s="3" t="s">
        <v>14</v>
      </c>
      <c r="X81" s="3" t="s">
        <v>34</v>
      </c>
      <c r="Y81" s="4">
        <v>3</v>
      </c>
      <c r="Z81" s="3" t="s">
        <v>36</v>
      </c>
      <c r="AA81" s="3" t="s">
        <v>525</v>
      </c>
    </row>
    <row r="82" spans="2:27" ht="14.25" customHeight="1" x14ac:dyDescent="0.3">
      <c r="B82" s="34">
        <f t="shared" si="12"/>
        <v>3049</v>
      </c>
      <c r="C82" s="4">
        <v>3</v>
      </c>
      <c r="D82" s="4">
        <v>2007</v>
      </c>
      <c r="E82" s="12">
        <v>4</v>
      </c>
      <c r="F82" s="3" t="s">
        <v>1</v>
      </c>
      <c r="G82" s="4">
        <v>49</v>
      </c>
      <c r="H82" s="7">
        <v>1283.4528</v>
      </c>
      <c r="I82" s="22">
        <v>338181.18080000003</v>
      </c>
      <c r="J82" s="22" t="s">
        <v>4</v>
      </c>
      <c r="K82" s="22"/>
      <c r="L82" s="3" t="s">
        <v>114</v>
      </c>
      <c r="M82" s="3" t="s">
        <v>179</v>
      </c>
      <c r="N82" s="11" t="s">
        <v>491</v>
      </c>
      <c r="O82" s="11" t="s">
        <v>376</v>
      </c>
      <c r="P82" s="4">
        <f>IF((D82-R82)=0," ",D82-R82)</f>
        <v>42</v>
      </c>
      <c r="Q82" s="4" t="str">
        <f t="shared" si="13"/>
        <v>36-45</v>
      </c>
      <c r="R82" s="11">
        <v>1965</v>
      </c>
      <c r="S82" s="4">
        <v>5</v>
      </c>
      <c r="T82" s="4">
        <v>12</v>
      </c>
      <c r="U82" s="3" t="s">
        <v>175</v>
      </c>
      <c r="V82" s="3" t="s">
        <v>11</v>
      </c>
      <c r="W82" s="3"/>
      <c r="X82" s="3" t="s">
        <v>33</v>
      </c>
      <c r="Y82" s="4">
        <v>3</v>
      </c>
      <c r="Z82" s="3" t="s">
        <v>35</v>
      </c>
      <c r="AA82" s="3" t="s">
        <v>39</v>
      </c>
    </row>
    <row r="83" spans="2:27" ht="14.25" customHeight="1" x14ac:dyDescent="0.3">
      <c r="B83" s="34">
        <f t="shared" si="12"/>
        <v>1017</v>
      </c>
      <c r="C83" s="4">
        <v>1</v>
      </c>
      <c r="D83" s="4">
        <v>2005</v>
      </c>
      <c r="E83" s="4">
        <v>2</v>
      </c>
      <c r="F83" s="3" t="s">
        <v>1</v>
      </c>
      <c r="G83" s="5">
        <v>17</v>
      </c>
      <c r="H83" s="7">
        <v>1434.0927999999999</v>
      </c>
      <c r="I83" s="22">
        <v>432679.91199999995</v>
      </c>
      <c r="J83" s="22" t="s">
        <v>4</v>
      </c>
      <c r="K83" s="22"/>
      <c r="L83" s="3" t="s">
        <v>51</v>
      </c>
      <c r="M83" s="3" t="s">
        <v>179</v>
      </c>
      <c r="N83" s="9" t="s">
        <v>196</v>
      </c>
      <c r="O83" s="10" t="s">
        <v>197</v>
      </c>
      <c r="P83" s="4">
        <f>D83-R83</f>
        <v>43</v>
      </c>
      <c r="Q83" s="4" t="str">
        <f t="shared" si="13"/>
        <v>36-45</v>
      </c>
      <c r="R83" s="11">
        <v>1962</v>
      </c>
      <c r="S83" s="4">
        <v>8</v>
      </c>
      <c r="T83" s="4">
        <v>10</v>
      </c>
      <c r="U83" s="3" t="s">
        <v>175</v>
      </c>
      <c r="V83" s="3" t="s">
        <v>5</v>
      </c>
      <c r="W83" s="3" t="s">
        <v>13</v>
      </c>
      <c r="X83" s="3" t="s">
        <v>33</v>
      </c>
      <c r="Y83" s="4">
        <v>1</v>
      </c>
      <c r="Z83" s="3" t="s">
        <v>36</v>
      </c>
      <c r="AA83" s="3" t="s">
        <v>525</v>
      </c>
    </row>
    <row r="84" spans="2:27" ht="14.25" customHeight="1" x14ac:dyDescent="0.3">
      <c r="B84" s="34">
        <f t="shared" si="12"/>
        <v>1039</v>
      </c>
      <c r="C84" s="4">
        <v>1</v>
      </c>
      <c r="D84" s="4">
        <v>2006</v>
      </c>
      <c r="E84" s="4">
        <v>6</v>
      </c>
      <c r="F84" s="3" t="s">
        <v>1</v>
      </c>
      <c r="G84" s="5">
        <v>39</v>
      </c>
      <c r="H84" s="7">
        <v>782.25200000000007</v>
      </c>
      <c r="I84" s="22">
        <v>196220.04800000001</v>
      </c>
      <c r="J84" s="22" t="s">
        <v>4</v>
      </c>
      <c r="K84" s="22"/>
      <c r="L84" s="3" t="s">
        <v>69</v>
      </c>
      <c r="M84" s="3" t="s">
        <v>179</v>
      </c>
      <c r="N84" s="9" t="s">
        <v>252</v>
      </c>
      <c r="O84" s="10" t="s">
        <v>253</v>
      </c>
      <c r="P84" s="4">
        <f>D84-R84</f>
        <v>49</v>
      </c>
      <c r="Q84" s="4" t="str">
        <f t="shared" si="13"/>
        <v>46-55</v>
      </c>
      <c r="R84" s="11">
        <v>1957</v>
      </c>
      <c r="S84" s="4">
        <v>10</v>
      </c>
      <c r="T84" s="4">
        <v>28.999999999999996</v>
      </c>
      <c r="U84" s="3" t="s">
        <v>177</v>
      </c>
      <c r="V84" s="3" t="s">
        <v>5</v>
      </c>
      <c r="W84" s="3" t="s">
        <v>13</v>
      </c>
      <c r="X84" s="3" t="s">
        <v>33</v>
      </c>
      <c r="Y84" s="4">
        <v>3</v>
      </c>
      <c r="Z84" s="3" t="s">
        <v>36</v>
      </c>
      <c r="AA84" s="3" t="s">
        <v>525</v>
      </c>
    </row>
    <row r="85" spans="2:27" ht="14.25" customHeight="1" x14ac:dyDescent="0.3">
      <c r="B85" s="34">
        <f t="shared" si="12"/>
        <v>2049</v>
      </c>
      <c r="C85" s="4">
        <v>2</v>
      </c>
      <c r="D85" s="4">
        <v>2006</v>
      </c>
      <c r="E85" s="4">
        <v>11</v>
      </c>
      <c r="F85" s="3" t="s">
        <v>1</v>
      </c>
      <c r="G85" s="5">
        <v>49</v>
      </c>
      <c r="H85" s="7">
        <v>1288.6176</v>
      </c>
      <c r="I85" s="22">
        <v>323915.8112</v>
      </c>
      <c r="J85" s="22" t="s">
        <v>4</v>
      </c>
      <c r="K85" s="22"/>
      <c r="L85" s="3" t="s">
        <v>92</v>
      </c>
      <c r="M85" s="3" t="s">
        <v>179</v>
      </c>
      <c r="N85" s="9" t="s">
        <v>321</v>
      </c>
      <c r="O85" s="10" t="s">
        <v>322</v>
      </c>
      <c r="P85" s="4">
        <f>IF((D85-R85)=0," ",D85-R85)</f>
        <v>43</v>
      </c>
      <c r="Q85" s="4" t="str">
        <f t="shared" si="13"/>
        <v>36-45</v>
      </c>
      <c r="R85" s="11">
        <v>1963</v>
      </c>
      <c r="S85" s="4">
        <v>7.0000000000000009</v>
      </c>
      <c r="T85" s="4">
        <v>15</v>
      </c>
      <c r="U85" s="3" t="s">
        <v>177</v>
      </c>
      <c r="V85" s="3" t="s">
        <v>5</v>
      </c>
      <c r="W85" s="3" t="s">
        <v>13</v>
      </c>
      <c r="X85" s="3" t="s">
        <v>33</v>
      </c>
      <c r="Y85" s="4">
        <v>4</v>
      </c>
      <c r="Z85" s="3" t="s">
        <v>35</v>
      </c>
      <c r="AA85" s="3" t="s">
        <v>39</v>
      </c>
    </row>
    <row r="86" spans="2:27" ht="14.25" customHeight="1" x14ac:dyDescent="0.3">
      <c r="B86" s="34">
        <f t="shared" si="12"/>
        <v>3054</v>
      </c>
      <c r="C86" s="4">
        <v>3</v>
      </c>
      <c r="D86" s="4">
        <v>2007</v>
      </c>
      <c r="E86" s="12">
        <v>5</v>
      </c>
      <c r="F86" s="3" t="s">
        <v>1</v>
      </c>
      <c r="G86" s="4">
        <v>54</v>
      </c>
      <c r="H86" s="7">
        <v>781.0684</v>
      </c>
      <c r="I86" s="22">
        <v>200719.01519999999</v>
      </c>
      <c r="J86" s="22" t="s">
        <v>4</v>
      </c>
      <c r="K86" s="22"/>
      <c r="L86" s="3" t="s">
        <v>123</v>
      </c>
      <c r="M86" s="3" t="s">
        <v>179</v>
      </c>
      <c r="N86" s="9" t="s">
        <v>399</v>
      </c>
      <c r="O86" s="10" t="s">
        <v>400</v>
      </c>
      <c r="P86" s="4">
        <f>IF((D86-R86)=0," ",D86-R86)</f>
        <v>43</v>
      </c>
      <c r="Q86" s="4" t="str">
        <f t="shared" si="13"/>
        <v>36-45</v>
      </c>
      <c r="R86" s="11">
        <v>1964</v>
      </c>
      <c r="S86" s="4">
        <v>3</v>
      </c>
      <c r="T86" s="4">
        <v>16</v>
      </c>
      <c r="U86" s="3" t="s">
        <v>175</v>
      </c>
      <c r="V86" s="3" t="s">
        <v>5</v>
      </c>
      <c r="W86" s="3" t="s">
        <v>13</v>
      </c>
      <c r="X86" s="3" t="s">
        <v>33</v>
      </c>
      <c r="Y86" s="4">
        <v>2</v>
      </c>
      <c r="Z86" s="3" t="s">
        <v>35</v>
      </c>
      <c r="AA86" s="3" t="s">
        <v>39</v>
      </c>
    </row>
    <row r="87" spans="2:27" ht="14.25" customHeight="1" x14ac:dyDescent="0.3">
      <c r="B87" s="34">
        <f t="shared" si="12"/>
        <v>3055</v>
      </c>
      <c r="C87" s="4">
        <v>3</v>
      </c>
      <c r="D87" s="4">
        <v>2007</v>
      </c>
      <c r="E87" s="12">
        <v>5</v>
      </c>
      <c r="F87" s="3" t="s">
        <v>1</v>
      </c>
      <c r="G87" s="4">
        <v>55</v>
      </c>
      <c r="H87" s="7">
        <v>1222.336</v>
      </c>
      <c r="I87" s="22">
        <v>380809.52</v>
      </c>
      <c r="J87" s="22" t="s">
        <v>4</v>
      </c>
      <c r="K87" s="22"/>
      <c r="L87" s="3" t="s">
        <v>123</v>
      </c>
      <c r="M87" s="3" t="s">
        <v>179</v>
      </c>
      <c r="N87" s="9" t="s">
        <v>399</v>
      </c>
      <c r="O87" s="10" t="s">
        <v>400</v>
      </c>
      <c r="P87" s="4">
        <f>IF((D87-R87)=0," ",D87-R87)</f>
        <v>43</v>
      </c>
      <c r="Q87" s="4" t="str">
        <f t="shared" si="13"/>
        <v>36-45</v>
      </c>
      <c r="R87" s="11">
        <v>1964</v>
      </c>
      <c r="S87" s="4">
        <v>3</v>
      </c>
      <c r="T87" s="4">
        <v>16</v>
      </c>
      <c r="U87" s="3" t="s">
        <v>175</v>
      </c>
      <c r="V87" s="3" t="s">
        <v>5</v>
      </c>
      <c r="W87" s="3" t="s">
        <v>13</v>
      </c>
      <c r="X87" s="3" t="s">
        <v>33</v>
      </c>
      <c r="Y87" s="4">
        <v>3</v>
      </c>
      <c r="Z87" s="3" t="s">
        <v>36</v>
      </c>
      <c r="AA87" s="3" t="s">
        <v>39</v>
      </c>
    </row>
    <row r="88" spans="2:27" ht="14.25" customHeight="1" x14ac:dyDescent="0.3">
      <c r="B88" s="34">
        <f t="shared" si="12"/>
        <v>3042</v>
      </c>
      <c r="C88" s="4">
        <v>3</v>
      </c>
      <c r="D88" s="4">
        <v>2007</v>
      </c>
      <c r="E88" s="12">
        <v>7</v>
      </c>
      <c r="F88" s="3" t="s">
        <v>1</v>
      </c>
      <c r="G88" s="4">
        <v>42</v>
      </c>
      <c r="H88" s="7">
        <v>781.0684</v>
      </c>
      <c r="I88" s="22">
        <v>213942.5624</v>
      </c>
      <c r="J88" s="22" t="s">
        <v>4</v>
      </c>
      <c r="K88" s="22"/>
      <c r="L88" s="3" t="s">
        <v>134</v>
      </c>
      <c r="M88" s="3" t="s">
        <v>179</v>
      </c>
      <c r="N88" s="9" t="s">
        <v>410</v>
      </c>
      <c r="O88" s="10" t="s">
        <v>411</v>
      </c>
      <c r="P88" s="4">
        <f>IF((D88-R88)=0," ",D88-R88)</f>
        <v>43</v>
      </c>
      <c r="Q88" s="4" t="str">
        <f t="shared" si="13"/>
        <v>36-45</v>
      </c>
      <c r="R88" s="11">
        <v>1964</v>
      </c>
      <c r="S88" s="4">
        <v>10</v>
      </c>
      <c r="T88" s="4">
        <v>5.9999999999999991</v>
      </c>
      <c r="U88" s="3" t="s">
        <v>175</v>
      </c>
      <c r="V88" s="3" t="s">
        <v>9</v>
      </c>
      <c r="W88" s="3" t="s">
        <v>13</v>
      </c>
      <c r="X88" s="3" t="s">
        <v>34</v>
      </c>
      <c r="Y88" s="4">
        <v>4</v>
      </c>
      <c r="Z88" s="3" t="s">
        <v>35</v>
      </c>
      <c r="AA88" s="3" t="s">
        <v>39</v>
      </c>
    </row>
    <row r="89" spans="2:27" ht="14.25" customHeight="1" x14ac:dyDescent="0.3">
      <c r="B89" s="34">
        <f t="shared" si="12"/>
        <v>1038</v>
      </c>
      <c r="C89" s="4">
        <v>1</v>
      </c>
      <c r="D89" s="4">
        <v>2004</v>
      </c>
      <c r="E89" s="4">
        <v>8</v>
      </c>
      <c r="F89" s="3" t="s">
        <v>1</v>
      </c>
      <c r="G89" s="5">
        <v>38</v>
      </c>
      <c r="H89" s="7">
        <v>743.0856</v>
      </c>
      <c r="I89" s="22">
        <v>207581.42720000001</v>
      </c>
      <c r="J89" s="22" t="s">
        <v>4</v>
      </c>
      <c r="K89" s="22"/>
      <c r="L89" s="3" t="s">
        <v>41</v>
      </c>
      <c r="M89" s="3" t="s">
        <v>179</v>
      </c>
      <c r="N89" s="9" t="s">
        <v>192</v>
      </c>
      <c r="O89" s="10" t="s">
        <v>193</v>
      </c>
      <c r="P89" s="4">
        <f>IF((D89-R89)=0," ",D89-R89)</f>
        <v>48</v>
      </c>
      <c r="Q89" s="4" t="str">
        <f t="shared" si="13"/>
        <v>46-55</v>
      </c>
      <c r="R89" s="11">
        <v>1956</v>
      </c>
      <c r="S89" s="4">
        <v>6</v>
      </c>
      <c r="T89" s="4">
        <v>17</v>
      </c>
      <c r="U89" s="3" t="s">
        <v>177</v>
      </c>
      <c r="V89" s="3" t="s">
        <v>5</v>
      </c>
      <c r="W89" s="3" t="s">
        <v>13</v>
      </c>
      <c r="X89" s="3" t="s">
        <v>33</v>
      </c>
      <c r="Y89" s="4">
        <v>2</v>
      </c>
      <c r="Z89" s="3" t="s">
        <v>36</v>
      </c>
      <c r="AA89" s="3" t="s">
        <v>525</v>
      </c>
    </row>
    <row r="90" spans="2:27" ht="14.25" customHeight="1" x14ac:dyDescent="0.3">
      <c r="B90" s="34">
        <f t="shared" si="12"/>
        <v>2020</v>
      </c>
      <c r="C90" s="4">
        <v>2</v>
      </c>
      <c r="D90" s="4">
        <v>2006</v>
      </c>
      <c r="E90" s="4">
        <v>10</v>
      </c>
      <c r="F90" s="3" t="s">
        <v>1</v>
      </c>
      <c r="G90" s="5">
        <v>20</v>
      </c>
      <c r="H90" s="7">
        <v>785.48</v>
      </c>
      <c r="I90" s="22">
        <v>241671.52000000002</v>
      </c>
      <c r="J90" s="22" t="s">
        <v>4</v>
      </c>
      <c r="K90" s="22"/>
      <c r="L90" s="3" t="s">
        <v>85</v>
      </c>
      <c r="M90" s="3" t="s">
        <v>179</v>
      </c>
      <c r="N90" s="9" t="s">
        <v>325</v>
      </c>
      <c r="O90" s="10" t="s">
        <v>326</v>
      </c>
      <c r="P90" s="4">
        <f t="shared" ref="P90:P128" si="14">IF((D90-R90)=0," ",D90-R90)</f>
        <v>44</v>
      </c>
      <c r="Q90" s="4" t="str">
        <f t="shared" si="13"/>
        <v>36-45</v>
      </c>
      <c r="R90" s="11">
        <v>1962</v>
      </c>
      <c r="S90" s="4">
        <v>1</v>
      </c>
      <c r="T90" s="4">
        <v>20</v>
      </c>
      <c r="U90" s="3" t="s">
        <v>177</v>
      </c>
      <c r="V90" s="3" t="s">
        <v>5</v>
      </c>
      <c r="W90" s="3" t="s">
        <v>13</v>
      </c>
      <c r="X90" s="3" t="s">
        <v>33</v>
      </c>
      <c r="Y90" s="4">
        <v>5</v>
      </c>
      <c r="Z90" s="3" t="s">
        <v>36</v>
      </c>
      <c r="AA90" s="3" t="s">
        <v>525</v>
      </c>
    </row>
    <row r="91" spans="2:27" ht="14.25" customHeight="1" x14ac:dyDescent="0.3">
      <c r="B91" s="34">
        <f t="shared" si="12"/>
        <v>2014</v>
      </c>
      <c r="C91" s="4">
        <v>2</v>
      </c>
      <c r="D91" s="4">
        <v>2007</v>
      </c>
      <c r="E91" s="4">
        <v>2</v>
      </c>
      <c r="F91" s="3" t="s">
        <v>1</v>
      </c>
      <c r="G91" s="5">
        <v>14</v>
      </c>
      <c r="H91" s="7">
        <v>1109.2483999999999</v>
      </c>
      <c r="I91" s="22">
        <v>336695.2524</v>
      </c>
      <c r="J91" s="22" t="s">
        <v>4</v>
      </c>
      <c r="K91" s="22"/>
      <c r="L91" s="3" t="s">
        <v>99</v>
      </c>
      <c r="M91" s="3" t="s">
        <v>179</v>
      </c>
      <c r="N91" s="9" t="s">
        <v>317</v>
      </c>
      <c r="O91" s="10" t="s">
        <v>318</v>
      </c>
      <c r="P91" s="4">
        <f t="shared" si="14"/>
        <v>44</v>
      </c>
      <c r="Q91" s="4" t="str">
        <f t="shared" si="13"/>
        <v>36-45</v>
      </c>
      <c r="R91" s="11">
        <v>1963</v>
      </c>
      <c r="S91" s="4">
        <v>11</v>
      </c>
      <c r="T91" s="4">
        <v>5</v>
      </c>
      <c r="U91" s="3" t="s">
        <v>175</v>
      </c>
      <c r="V91" s="3" t="s">
        <v>5</v>
      </c>
      <c r="W91" s="3" t="s">
        <v>13</v>
      </c>
      <c r="X91" s="3" t="s">
        <v>34</v>
      </c>
      <c r="Y91" s="4">
        <v>4</v>
      </c>
      <c r="Z91" s="3" t="s">
        <v>35</v>
      </c>
      <c r="AA91" s="3" t="s">
        <v>525</v>
      </c>
    </row>
    <row r="92" spans="2:27" ht="14.25" customHeight="1" x14ac:dyDescent="0.3">
      <c r="B92" s="34">
        <f t="shared" si="12"/>
        <v>3001</v>
      </c>
      <c r="C92" s="4">
        <v>3</v>
      </c>
      <c r="D92" s="5">
        <v>2007</v>
      </c>
      <c r="E92" s="12">
        <v>8</v>
      </c>
      <c r="F92" s="3" t="s">
        <v>1</v>
      </c>
      <c r="G92" s="4">
        <v>1</v>
      </c>
      <c r="H92" s="7">
        <v>579.74879999999996</v>
      </c>
      <c r="I92" s="22">
        <v>171262.6544</v>
      </c>
      <c r="J92" s="22" t="s">
        <v>4</v>
      </c>
      <c r="K92" s="22"/>
      <c r="L92" s="3" t="s">
        <v>99</v>
      </c>
      <c r="M92" s="3" t="s">
        <v>179</v>
      </c>
      <c r="N92" s="9" t="s">
        <v>317</v>
      </c>
      <c r="O92" s="10" t="s">
        <v>318</v>
      </c>
      <c r="P92" s="4">
        <f t="shared" si="14"/>
        <v>44</v>
      </c>
      <c r="Q92" s="4" t="str">
        <f t="shared" si="13"/>
        <v>36-45</v>
      </c>
      <c r="R92" s="11">
        <v>1963</v>
      </c>
      <c r="S92" s="4">
        <v>11</v>
      </c>
      <c r="T92" s="4">
        <v>5</v>
      </c>
      <c r="U92" s="3" t="s">
        <v>175</v>
      </c>
      <c r="V92" s="3" t="s">
        <v>5</v>
      </c>
      <c r="W92" s="3" t="s">
        <v>13</v>
      </c>
      <c r="X92" s="3" t="s">
        <v>34</v>
      </c>
      <c r="Y92" s="4">
        <v>5</v>
      </c>
      <c r="Z92" s="3" t="s">
        <v>35</v>
      </c>
      <c r="AA92" s="3" t="s">
        <v>525</v>
      </c>
    </row>
    <row r="93" spans="2:27" ht="14.25" customHeight="1" x14ac:dyDescent="0.3">
      <c r="B93" s="34">
        <f t="shared" si="12"/>
        <v>3043</v>
      </c>
      <c r="C93" s="4">
        <v>3</v>
      </c>
      <c r="D93" s="4">
        <v>2007</v>
      </c>
      <c r="E93" s="12">
        <v>11</v>
      </c>
      <c r="F93" s="3" t="s">
        <v>1</v>
      </c>
      <c r="G93" s="4">
        <v>43</v>
      </c>
      <c r="H93" s="7">
        <v>1128.4012</v>
      </c>
      <c r="I93" s="22">
        <v>299159.1384</v>
      </c>
      <c r="J93" s="22" t="s">
        <v>4</v>
      </c>
      <c r="K93" s="22"/>
      <c r="L93" s="3" t="s">
        <v>99</v>
      </c>
      <c r="M93" s="3" t="s">
        <v>179</v>
      </c>
      <c r="N93" s="9" t="s">
        <v>317</v>
      </c>
      <c r="O93" s="10" t="s">
        <v>318</v>
      </c>
      <c r="P93" s="4">
        <f t="shared" si="14"/>
        <v>44</v>
      </c>
      <c r="Q93" s="4" t="str">
        <f t="shared" si="13"/>
        <v>36-45</v>
      </c>
      <c r="R93" s="11">
        <v>1963</v>
      </c>
      <c r="S93" s="4">
        <v>11</v>
      </c>
      <c r="T93" s="4">
        <v>5</v>
      </c>
      <c r="U93" s="3" t="s">
        <v>175</v>
      </c>
      <c r="V93" s="3" t="s">
        <v>5</v>
      </c>
      <c r="W93" s="3" t="s">
        <v>13</v>
      </c>
      <c r="X93" s="3" t="s">
        <v>33</v>
      </c>
      <c r="Y93" s="4">
        <v>5</v>
      </c>
      <c r="Z93" s="3" t="s">
        <v>35</v>
      </c>
      <c r="AA93" s="3" t="s">
        <v>525</v>
      </c>
    </row>
    <row r="94" spans="2:27" ht="14.25" customHeight="1" x14ac:dyDescent="0.3">
      <c r="B94" s="34">
        <f t="shared" si="12"/>
        <v>2016</v>
      </c>
      <c r="C94" s="4">
        <v>2</v>
      </c>
      <c r="D94" s="4">
        <v>2007</v>
      </c>
      <c r="E94" s="4">
        <v>3</v>
      </c>
      <c r="F94" s="3" t="s">
        <v>1</v>
      </c>
      <c r="G94" s="5">
        <v>16</v>
      </c>
      <c r="H94" s="7">
        <v>701.65959999999995</v>
      </c>
      <c r="I94" s="22">
        <v>212265.66799999998</v>
      </c>
      <c r="J94" s="22" t="s">
        <v>4</v>
      </c>
      <c r="K94" s="22"/>
      <c r="L94" s="3" t="s">
        <v>107</v>
      </c>
      <c r="M94" s="3" t="s">
        <v>179</v>
      </c>
      <c r="N94" s="9" t="s">
        <v>356</v>
      </c>
      <c r="O94" s="10" t="s">
        <v>357</v>
      </c>
      <c r="P94" s="4">
        <f t="shared" si="14"/>
        <v>44</v>
      </c>
      <c r="Q94" s="4" t="str">
        <f t="shared" si="13"/>
        <v>36-45</v>
      </c>
      <c r="R94" s="11">
        <v>1963</v>
      </c>
      <c r="S94" s="4">
        <v>2</v>
      </c>
      <c r="T94" s="4">
        <v>1</v>
      </c>
      <c r="U94" s="3" t="s">
        <v>175</v>
      </c>
      <c r="V94" s="3" t="s">
        <v>5</v>
      </c>
      <c r="W94" s="3" t="s">
        <v>19</v>
      </c>
      <c r="X94" s="3" t="s">
        <v>33</v>
      </c>
      <c r="Y94" s="4">
        <v>2</v>
      </c>
      <c r="Z94" s="3" t="s">
        <v>35</v>
      </c>
      <c r="AA94" s="3" t="s">
        <v>525</v>
      </c>
    </row>
    <row r="95" spans="2:27" ht="14.25" customHeight="1" x14ac:dyDescent="0.3">
      <c r="B95" s="34">
        <f t="shared" si="12"/>
        <v>4049</v>
      </c>
      <c r="C95" s="4">
        <v>4</v>
      </c>
      <c r="D95" s="4">
        <v>2008</v>
      </c>
      <c r="E95" s="4">
        <v>1</v>
      </c>
      <c r="F95" s="3" t="s">
        <v>1</v>
      </c>
      <c r="G95" s="5">
        <v>49</v>
      </c>
      <c r="H95" s="7">
        <v>1336.93</v>
      </c>
      <c r="I95" s="22">
        <v>388515.14</v>
      </c>
      <c r="J95" s="22" t="s">
        <v>4</v>
      </c>
      <c r="K95" s="22"/>
      <c r="L95" s="3" t="s">
        <v>169</v>
      </c>
      <c r="M95" s="3" t="s">
        <v>179</v>
      </c>
      <c r="N95" s="9" t="s">
        <v>242</v>
      </c>
      <c r="O95" s="10" t="s">
        <v>243</v>
      </c>
      <c r="P95" s="4">
        <f t="shared" si="14"/>
        <v>44</v>
      </c>
      <c r="Q95" s="4" t="str">
        <f t="shared" si="13"/>
        <v>36-45</v>
      </c>
      <c r="R95" s="11">
        <v>1964</v>
      </c>
      <c r="S95" s="4">
        <v>9</v>
      </c>
      <c r="T95" s="4">
        <v>24</v>
      </c>
      <c r="U95" s="3" t="s">
        <v>177</v>
      </c>
      <c r="V95" s="3" t="s">
        <v>5</v>
      </c>
      <c r="W95" s="3" t="s">
        <v>13</v>
      </c>
      <c r="X95" s="3" t="s">
        <v>33</v>
      </c>
      <c r="Y95" s="4">
        <v>5</v>
      </c>
      <c r="Z95" s="3" t="s">
        <v>35</v>
      </c>
      <c r="AA95" s="3" t="s">
        <v>182</v>
      </c>
    </row>
    <row r="96" spans="2:27" ht="14.25" customHeight="1" x14ac:dyDescent="0.3">
      <c r="B96" s="34">
        <f t="shared" si="12"/>
        <v>4022</v>
      </c>
      <c r="C96" s="4">
        <v>4</v>
      </c>
      <c r="D96" s="4">
        <v>2007</v>
      </c>
      <c r="E96" s="4">
        <v>8</v>
      </c>
      <c r="F96" s="3" t="s">
        <v>1</v>
      </c>
      <c r="G96" s="5">
        <v>22</v>
      </c>
      <c r="H96" s="7">
        <v>794.51840000000004</v>
      </c>
      <c r="I96" s="22">
        <v>263790.81440000003</v>
      </c>
      <c r="J96" s="22" t="s">
        <v>4</v>
      </c>
      <c r="K96" s="22"/>
      <c r="L96" s="3" t="s">
        <v>489</v>
      </c>
      <c r="M96" s="3" t="s">
        <v>179</v>
      </c>
      <c r="N96" s="9" t="s">
        <v>288</v>
      </c>
      <c r="O96" s="10" t="s">
        <v>289</v>
      </c>
      <c r="P96" s="4">
        <f t="shared" si="14"/>
        <v>45</v>
      </c>
      <c r="Q96" s="4" t="str">
        <f t="shared" si="13"/>
        <v>36-45</v>
      </c>
      <c r="R96" s="11">
        <v>1962</v>
      </c>
      <c r="S96" s="4">
        <v>8</v>
      </c>
      <c r="T96" s="4">
        <v>25</v>
      </c>
      <c r="U96" s="3" t="s">
        <v>177</v>
      </c>
      <c r="V96" s="3" t="s">
        <v>5</v>
      </c>
      <c r="W96" s="3" t="s">
        <v>13</v>
      </c>
      <c r="X96" s="3" t="s">
        <v>33</v>
      </c>
      <c r="Y96" s="4">
        <v>4</v>
      </c>
      <c r="Z96" s="3" t="s">
        <v>36</v>
      </c>
      <c r="AA96" s="3" t="s">
        <v>525</v>
      </c>
    </row>
    <row r="97" spans="2:27" ht="14.25" customHeight="1" x14ac:dyDescent="0.3">
      <c r="B97" s="34">
        <f t="shared" si="12"/>
        <v>3059</v>
      </c>
      <c r="C97" s="4">
        <v>3</v>
      </c>
      <c r="D97" s="4">
        <v>2007</v>
      </c>
      <c r="E97" s="12">
        <v>6</v>
      </c>
      <c r="F97" s="3" t="s">
        <v>1</v>
      </c>
      <c r="G97" s="4">
        <v>59</v>
      </c>
      <c r="H97" s="7">
        <v>1171.5488</v>
      </c>
      <c r="I97" s="22">
        <v>367976.45760000002</v>
      </c>
      <c r="J97" s="22" t="s">
        <v>4</v>
      </c>
      <c r="K97" s="22"/>
      <c r="L97" s="3" t="s">
        <v>128</v>
      </c>
      <c r="M97" s="3" t="s">
        <v>179</v>
      </c>
      <c r="N97" s="9" t="s">
        <v>405</v>
      </c>
      <c r="O97" s="10" t="s">
        <v>406</v>
      </c>
      <c r="P97" s="4">
        <f t="shared" si="14"/>
        <v>45</v>
      </c>
      <c r="Q97" s="4" t="str">
        <f t="shared" si="13"/>
        <v>36-45</v>
      </c>
      <c r="R97" s="11">
        <v>1962</v>
      </c>
      <c r="S97" s="4">
        <v>9</v>
      </c>
      <c r="T97" s="4">
        <v>11</v>
      </c>
      <c r="U97" s="3" t="s">
        <v>175</v>
      </c>
      <c r="V97" s="3" t="s">
        <v>5</v>
      </c>
      <c r="W97" s="3" t="s">
        <v>13</v>
      </c>
      <c r="X97" s="3" t="s">
        <v>33</v>
      </c>
      <c r="Y97" s="4">
        <v>2</v>
      </c>
      <c r="Z97" s="3" t="s">
        <v>35</v>
      </c>
      <c r="AA97" s="3" t="s">
        <v>39</v>
      </c>
    </row>
    <row r="98" spans="2:27" ht="14.25" customHeight="1" x14ac:dyDescent="0.3">
      <c r="B98" s="34">
        <f t="shared" si="12"/>
        <v>4034</v>
      </c>
      <c r="C98" s="4">
        <v>4</v>
      </c>
      <c r="D98" s="4">
        <v>2007</v>
      </c>
      <c r="E98" s="4">
        <v>10</v>
      </c>
      <c r="F98" s="3" t="s">
        <v>1</v>
      </c>
      <c r="G98" s="5">
        <v>34</v>
      </c>
      <c r="H98" s="7">
        <v>794.51840000000004</v>
      </c>
      <c r="I98" s="22">
        <v>243052.59039999999</v>
      </c>
      <c r="J98" s="22" t="s">
        <v>4</v>
      </c>
      <c r="K98" s="22"/>
      <c r="L98" s="3" t="s">
        <v>146</v>
      </c>
      <c r="M98" s="3" t="s">
        <v>179</v>
      </c>
      <c r="N98" s="9" t="s">
        <v>434</v>
      </c>
      <c r="O98" s="10" t="s">
        <v>435</v>
      </c>
      <c r="P98" s="4">
        <f t="shared" si="14"/>
        <v>45</v>
      </c>
      <c r="Q98" s="4" t="str">
        <f t="shared" si="13"/>
        <v>36-45</v>
      </c>
      <c r="R98" s="11">
        <v>1962</v>
      </c>
      <c r="S98" s="4">
        <v>1</v>
      </c>
      <c r="T98" s="4">
        <v>21</v>
      </c>
      <c r="U98" s="3" t="s">
        <v>177</v>
      </c>
      <c r="V98" s="3" t="s">
        <v>5</v>
      </c>
      <c r="W98" s="3" t="s">
        <v>13</v>
      </c>
      <c r="X98" s="3" t="s">
        <v>33</v>
      </c>
      <c r="Y98" s="4">
        <v>1</v>
      </c>
      <c r="Z98" s="3" t="s">
        <v>36</v>
      </c>
      <c r="AA98" s="3" t="s">
        <v>525</v>
      </c>
    </row>
    <row r="99" spans="2:27" ht="14.25" customHeight="1" x14ac:dyDescent="0.3">
      <c r="B99" s="34">
        <f t="shared" si="12"/>
        <v>5027</v>
      </c>
      <c r="C99" s="4">
        <v>5</v>
      </c>
      <c r="D99" s="4">
        <v>2007</v>
      </c>
      <c r="E99" s="4">
        <v>11</v>
      </c>
      <c r="F99" s="3" t="s">
        <v>1</v>
      </c>
      <c r="G99" s="5">
        <v>27</v>
      </c>
      <c r="H99" s="7">
        <v>798.28440000000001</v>
      </c>
      <c r="I99" s="22">
        <v>269075.30160000001</v>
      </c>
      <c r="J99" s="22" t="s">
        <v>4</v>
      </c>
      <c r="K99" s="22"/>
      <c r="L99" s="3" t="s">
        <v>154</v>
      </c>
      <c r="M99" s="3" t="s">
        <v>179</v>
      </c>
      <c r="N99" s="9" t="s">
        <v>319</v>
      </c>
      <c r="O99" s="10" t="s">
        <v>320</v>
      </c>
      <c r="P99" s="4">
        <f t="shared" si="14"/>
        <v>45</v>
      </c>
      <c r="Q99" s="4" t="str">
        <f t="shared" si="13"/>
        <v>36-45</v>
      </c>
      <c r="R99" s="11">
        <v>1962</v>
      </c>
      <c r="S99" s="4">
        <v>9</v>
      </c>
      <c r="T99" s="4">
        <v>23</v>
      </c>
      <c r="U99" s="3" t="s">
        <v>175</v>
      </c>
      <c r="V99" s="3" t="s">
        <v>5</v>
      </c>
      <c r="W99" s="3" t="s">
        <v>13</v>
      </c>
      <c r="X99" s="3" t="s">
        <v>34</v>
      </c>
      <c r="Y99" s="4">
        <v>5</v>
      </c>
      <c r="Z99" s="3" t="s">
        <v>35</v>
      </c>
      <c r="AA99" s="3" t="s">
        <v>525</v>
      </c>
    </row>
    <row r="100" spans="2:27" ht="14.25" customHeight="1" x14ac:dyDescent="0.3">
      <c r="B100" s="34">
        <f t="shared" si="12"/>
        <v>5028</v>
      </c>
      <c r="C100" s="4">
        <v>5</v>
      </c>
      <c r="D100" s="4">
        <v>2007</v>
      </c>
      <c r="E100" s="4">
        <v>11</v>
      </c>
      <c r="F100" s="3" t="s">
        <v>1</v>
      </c>
      <c r="G100" s="5">
        <v>28</v>
      </c>
      <c r="H100" s="7">
        <v>798.28440000000001</v>
      </c>
      <c r="I100" s="22">
        <v>223577.32</v>
      </c>
      <c r="J100" s="22" t="s">
        <v>4</v>
      </c>
      <c r="K100" s="22"/>
      <c r="L100" s="3" t="s">
        <v>154</v>
      </c>
      <c r="M100" s="3" t="s">
        <v>179</v>
      </c>
      <c r="N100" s="9" t="s">
        <v>319</v>
      </c>
      <c r="O100" s="10" t="s">
        <v>320</v>
      </c>
      <c r="P100" s="4">
        <f t="shared" si="14"/>
        <v>45</v>
      </c>
      <c r="Q100" s="4" t="str">
        <f t="shared" si="13"/>
        <v>36-45</v>
      </c>
      <c r="R100" s="11">
        <v>1962</v>
      </c>
      <c r="S100" s="4">
        <v>9</v>
      </c>
      <c r="T100" s="4">
        <v>23</v>
      </c>
      <c r="U100" s="3" t="s">
        <v>175</v>
      </c>
      <c r="V100" s="3" t="s">
        <v>5</v>
      </c>
      <c r="W100" s="3" t="s">
        <v>13</v>
      </c>
      <c r="X100" s="3" t="s">
        <v>34</v>
      </c>
      <c r="Y100" s="4">
        <v>5</v>
      </c>
      <c r="Z100" s="3" t="s">
        <v>35</v>
      </c>
      <c r="AA100" s="3" t="s">
        <v>525</v>
      </c>
    </row>
    <row r="101" spans="2:27" ht="14.25" customHeight="1" x14ac:dyDescent="0.3">
      <c r="B101" s="34">
        <f t="shared" si="12"/>
        <v>2026</v>
      </c>
      <c r="C101" s="4">
        <v>2</v>
      </c>
      <c r="D101" s="4">
        <v>2006</v>
      </c>
      <c r="E101" s="4">
        <v>9</v>
      </c>
      <c r="F101" s="3" t="s">
        <v>1</v>
      </c>
      <c r="G101" s="5">
        <v>26</v>
      </c>
      <c r="H101" s="7">
        <v>649.79639999999995</v>
      </c>
      <c r="I101" s="22">
        <v>198075.992</v>
      </c>
      <c r="J101" s="22" t="s">
        <v>4</v>
      </c>
      <c r="K101" s="22"/>
      <c r="L101" s="3" t="s">
        <v>81</v>
      </c>
      <c r="M101" s="3" t="s">
        <v>179</v>
      </c>
      <c r="N101" s="9" t="s">
        <v>300</v>
      </c>
      <c r="O101" s="10" t="s">
        <v>301</v>
      </c>
      <c r="P101" s="4">
        <f t="shared" si="14"/>
        <v>47</v>
      </c>
      <c r="Q101" s="4" t="str">
        <f t="shared" si="13"/>
        <v>46-55</v>
      </c>
      <c r="R101" s="11">
        <v>1959</v>
      </c>
      <c r="S101" s="4">
        <v>9</v>
      </c>
      <c r="T101" s="4">
        <v>28</v>
      </c>
      <c r="U101" s="3" t="s">
        <v>177</v>
      </c>
      <c r="V101" s="3" t="s">
        <v>5</v>
      </c>
      <c r="W101" s="3" t="s">
        <v>17</v>
      </c>
      <c r="X101" s="3" t="s">
        <v>34</v>
      </c>
      <c r="Y101" s="4">
        <v>1</v>
      </c>
      <c r="Z101" s="3" t="s">
        <v>35</v>
      </c>
      <c r="AA101" s="3" t="s">
        <v>182</v>
      </c>
    </row>
    <row r="102" spans="2:27" ht="14.25" customHeight="1" x14ac:dyDescent="0.3">
      <c r="B102" s="34">
        <f t="shared" ref="B102:B133" si="15">C102*1000+G102</f>
        <v>3022</v>
      </c>
      <c r="C102" s="4">
        <v>3</v>
      </c>
      <c r="D102" s="4">
        <v>2007</v>
      </c>
      <c r="E102" s="12">
        <v>5</v>
      </c>
      <c r="F102" s="3" t="s">
        <v>1</v>
      </c>
      <c r="G102" s="4">
        <v>22</v>
      </c>
      <c r="H102" s="7">
        <v>1137.4395999999999</v>
      </c>
      <c r="I102" s="22">
        <v>354553.23239999998</v>
      </c>
      <c r="J102" s="22" t="s">
        <v>4</v>
      </c>
      <c r="K102" s="22"/>
      <c r="L102" s="3" t="s">
        <v>122</v>
      </c>
      <c r="M102" s="3" t="s">
        <v>179</v>
      </c>
      <c r="N102" s="9" t="s">
        <v>335</v>
      </c>
      <c r="O102" s="10" t="s">
        <v>336</v>
      </c>
      <c r="P102" s="4">
        <f t="shared" si="14"/>
        <v>47</v>
      </c>
      <c r="Q102" s="4" t="str">
        <f t="shared" ref="Q102:Q133" si="16">IF(P102&lt;26,"18-25",IF(P102&lt;36,"26-35",IF(P102&lt;46,"36-45",IF(P102&lt;56,"46-55",IF(P102&lt;66,"56-65","65+")))))</f>
        <v>46-55</v>
      </c>
      <c r="R102" s="11">
        <v>1960</v>
      </c>
      <c r="S102" s="4">
        <v>6</v>
      </c>
      <c r="T102" s="4">
        <v>16</v>
      </c>
      <c r="U102" s="3" t="s">
        <v>175</v>
      </c>
      <c r="V102" s="3" t="s">
        <v>5</v>
      </c>
      <c r="W102" s="3" t="s">
        <v>13</v>
      </c>
      <c r="X102" s="3" t="s">
        <v>33</v>
      </c>
      <c r="Y102" s="4">
        <v>2</v>
      </c>
      <c r="Z102" s="3" t="s">
        <v>35</v>
      </c>
      <c r="AA102" s="3" t="s">
        <v>525</v>
      </c>
    </row>
    <row r="103" spans="2:27" ht="14.25" customHeight="1" x14ac:dyDescent="0.3">
      <c r="B103" s="34">
        <f t="shared" si="15"/>
        <v>2024</v>
      </c>
      <c r="C103" s="4">
        <v>2</v>
      </c>
      <c r="D103" s="4">
        <v>2005</v>
      </c>
      <c r="E103" s="4">
        <v>6</v>
      </c>
      <c r="F103" s="3" t="s">
        <v>1</v>
      </c>
      <c r="G103" s="5">
        <v>24</v>
      </c>
      <c r="H103" s="7">
        <v>1604.7463999999998</v>
      </c>
      <c r="I103" s="22">
        <v>456919.45599999995</v>
      </c>
      <c r="J103" s="22" t="s">
        <v>4</v>
      </c>
      <c r="K103" s="22"/>
      <c r="L103" s="3" t="s">
        <v>506</v>
      </c>
      <c r="M103" s="3" t="s">
        <v>179</v>
      </c>
      <c r="N103" s="9" t="s">
        <v>450</v>
      </c>
      <c r="O103" s="10" t="s">
        <v>451</v>
      </c>
      <c r="P103" s="4">
        <f t="shared" si="14"/>
        <v>47</v>
      </c>
      <c r="Q103" s="4" t="str">
        <f t="shared" si="16"/>
        <v>46-55</v>
      </c>
      <c r="R103" s="11">
        <v>1958</v>
      </c>
      <c r="S103" s="4">
        <v>2</v>
      </c>
      <c r="T103" s="4">
        <v>24</v>
      </c>
      <c r="U103" s="3" t="s">
        <v>175</v>
      </c>
      <c r="V103" s="3" t="s">
        <v>5</v>
      </c>
      <c r="W103" s="3" t="s">
        <v>13</v>
      </c>
      <c r="X103" s="3" t="s">
        <v>33</v>
      </c>
      <c r="Y103" s="4">
        <v>1</v>
      </c>
      <c r="Z103" s="3" t="s">
        <v>35</v>
      </c>
      <c r="AA103" s="3" t="s">
        <v>525</v>
      </c>
    </row>
    <row r="104" spans="2:27" ht="14.25" customHeight="1" x14ac:dyDescent="0.3">
      <c r="B104" s="34">
        <f t="shared" si="15"/>
        <v>3003</v>
      </c>
      <c r="C104" s="4">
        <v>3</v>
      </c>
      <c r="D104" s="4">
        <v>2007</v>
      </c>
      <c r="E104" s="12">
        <v>11</v>
      </c>
      <c r="F104" s="3" t="s">
        <v>1</v>
      </c>
      <c r="G104" s="4">
        <v>3</v>
      </c>
      <c r="H104" s="7">
        <v>675.18999999999994</v>
      </c>
      <c r="I104" s="22">
        <v>233142.8</v>
      </c>
      <c r="J104" s="22" t="s">
        <v>4</v>
      </c>
      <c r="K104" s="22"/>
      <c r="L104" s="3" t="s">
        <v>152</v>
      </c>
      <c r="M104" s="3" t="s">
        <v>179</v>
      </c>
      <c r="N104" s="9" t="s">
        <v>442</v>
      </c>
      <c r="O104" s="10" t="s">
        <v>443</v>
      </c>
      <c r="P104" s="4">
        <f t="shared" si="14"/>
        <v>47</v>
      </c>
      <c r="Q104" s="4" t="str">
        <f t="shared" si="16"/>
        <v>46-55</v>
      </c>
      <c r="R104" s="11">
        <v>1960</v>
      </c>
      <c r="S104" s="4">
        <v>10</v>
      </c>
      <c r="T104" s="4">
        <v>1</v>
      </c>
      <c r="U104" s="3" t="s">
        <v>177</v>
      </c>
      <c r="V104" s="3" t="s">
        <v>5</v>
      </c>
      <c r="W104" s="3" t="s">
        <v>13</v>
      </c>
      <c r="X104" s="3" t="s">
        <v>34</v>
      </c>
      <c r="Y104" s="4">
        <v>1</v>
      </c>
      <c r="Z104" s="3" t="s">
        <v>36</v>
      </c>
      <c r="AA104" s="3" t="s">
        <v>39</v>
      </c>
    </row>
    <row r="105" spans="2:27" ht="14.25" customHeight="1" x14ac:dyDescent="0.3">
      <c r="B105" s="34">
        <f t="shared" si="15"/>
        <v>2011</v>
      </c>
      <c r="C105" s="4">
        <v>2</v>
      </c>
      <c r="D105" s="4">
        <v>2007</v>
      </c>
      <c r="E105" s="4">
        <v>1</v>
      </c>
      <c r="F105" s="3" t="s">
        <v>1</v>
      </c>
      <c r="G105" s="5">
        <v>11</v>
      </c>
      <c r="H105" s="7">
        <v>649.68880000000001</v>
      </c>
      <c r="I105" s="22">
        <v>225401.6152</v>
      </c>
      <c r="J105" s="22" t="s">
        <v>4</v>
      </c>
      <c r="K105" s="22"/>
      <c r="L105" s="3" t="s">
        <v>97</v>
      </c>
      <c r="M105" s="3" t="s">
        <v>179</v>
      </c>
      <c r="N105" s="9" t="s">
        <v>337</v>
      </c>
      <c r="O105" s="10" t="s">
        <v>206</v>
      </c>
      <c r="P105" s="4">
        <f t="shared" si="14"/>
        <v>48</v>
      </c>
      <c r="Q105" s="4" t="str">
        <f t="shared" si="16"/>
        <v>46-55</v>
      </c>
      <c r="R105" s="11">
        <v>1959</v>
      </c>
      <c r="S105" s="4">
        <v>11</v>
      </c>
      <c r="T105" s="4">
        <v>13</v>
      </c>
      <c r="U105" s="3" t="s">
        <v>177</v>
      </c>
      <c r="V105" s="3" t="s">
        <v>5</v>
      </c>
      <c r="W105" s="3" t="s">
        <v>13</v>
      </c>
      <c r="X105" s="3" t="s">
        <v>33</v>
      </c>
      <c r="Y105" s="4">
        <v>4</v>
      </c>
      <c r="Z105" s="3" t="s">
        <v>35</v>
      </c>
      <c r="AA105" s="3" t="s">
        <v>525</v>
      </c>
    </row>
    <row r="106" spans="2:27" ht="14.25" customHeight="1" x14ac:dyDescent="0.3">
      <c r="B106" s="34">
        <f t="shared" si="15"/>
        <v>2028</v>
      </c>
      <c r="C106" s="4">
        <v>2</v>
      </c>
      <c r="D106" s="4">
        <v>2007</v>
      </c>
      <c r="E106" s="4">
        <v>4</v>
      </c>
      <c r="F106" s="3" t="s">
        <v>1</v>
      </c>
      <c r="G106" s="5">
        <v>28</v>
      </c>
      <c r="H106" s="7">
        <v>785.48</v>
      </c>
      <c r="I106" s="22">
        <v>195153.16</v>
      </c>
      <c r="J106" s="22" t="s">
        <v>4</v>
      </c>
      <c r="K106" s="22"/>
      <c r="L106" s="3" t="s">
        <v>112</v>
      </c>
      <c r="M106" s="3" t="s">
        <v>179</v>
      </c>
      <c r="N106" s="9" t="s">
        <v>368</v>
      </c>
      <c r="O106" s="10" t="s">
        <v>369</v>
      </c>
      <c r="P106" s="4">
        <f t="shared" si="14"/>
        <v>48</v>
      </c>
      <c r="Q106" s="4" t="str">
        <f t="shared" si="16"/>
        <v>46-55</v>
      </c>
      <c r="R106" s="11">
        <v>1959</v>
      </c>
      <c r="S106" s="4">
        <v>1</v>
      </c>
      <c r="T106" s="4">
        <v>1</v>
      </c>
      <c r="U106" s="3" t="s">
        <v>177</v>
      </c>
      <c r="V106" s="3" t="s">
        <v>5</v>
      </c>
      <c r="W106" s="3" t="s">
        <v>18</v>
      </c>
      <c r="X106" s="3" t="s">
        <v>34</v>
      </c>
      <c r="Y106" s="4">
        <v>5</v>
      </c>
      <c r="Z106" s="3" t="s">
        <v>35</v>
      </c>
      <c r="AA106" s="3" t="s">
        <v>182</v>
      </c>
    </row>
    <row r="107" spans="2:27" ht="14.25" customHeight="1" x14ac:dyDescent="0.3">
      <c r="B107" s="34">
        <f t="shared" si="15"/>
        <v>3028</v>
      </c>
      <c r="C107" s="4">
        <v>3</v>
      </c>
      <c r="D107" s="4">
        <v>2007</v>
      </c>
      <c r="E107" s="12">
        <v>7</v>
      </c>
      <c r="F107" s="3" t="s">
        <v>1</v>
      </c>
      <c r="G107" s="4">
        <v>28</v>
      </c>
      <c r="H107" s="7">
        <v>781.0684</v>
      </c>
      <c r="I107" s="22">
        <v>206631.81</v>
      </c>
      <c r="J107" s="22" t="s">
        <v>4</v>
      </c>
      <c r="K107" s="22"/>
      <c r="L107" s="3" t="s">
        <v>133</v>
      </c>
      <c r="M107" s="3" t="s">
        <v>179</v>
      </c>
      <c r="N107" s="9" t="s">
        <v>327</v>
      </c>
      <c r="O107" s="10" t="s">
        <v>328</v>
      </c>
      <c r="P107" s="4">
        <f t="shared" si="14"/>
        <v>48</v>
      </c>
      <c r="Q107" s="4" t="str">
        <f t="shared" si="16"/>
        <v>46-55</v>
      </c>
      <c r="R107" s="11">
        <v>1959</v>
      </c>
      <c r="S107" s="4">
        <v>6</v>
      </c>
      <c r="T107" s="4">
        <v>11</v>
      </c>
      <c r="U107" s="3" t="s">
        <v>177</v>
      </c>
      <c r="V107" s="3" t="s">
        <v>5</v>
      </c>
      <c r="W107" s="3" t="s">
        <v>13</v>
      </c>
      <c r="X107" s="3" t="s">
        <v>33</v>
      </c>
      <c r="Y107" s="4">
        <v>4</v>
      </c>
      <c r="Z107" s="3" t="s">
        <v>35</v>
      </c>
      <c r="AA107" s="3" t="s">
        <v>525</v>
      </c>
    </row>
    <row r="108" spans="2:27" ht="14.25" customHeight="1" x14ac:dyDescent="0.3">
      <c r="B108" s="34">
        <f t="shared" si="15"/>
        <v>3036</v>
      </c>
      <c r="C108" s="4">
        <v>3</v>
      </c>
      <c r="D108" s="4">
        <v>2007</v>
      </c>
      <c r="E108" s="12">
        <v>10</v>
      </c>
      <c r="F108" s="3" t="s">
        <v>1</v>
      </c>
      <c r="G108" s="4">
        <v>36</v>
      </c>
      <c r="H108" s="7">
        <v>1127.7556</v>
      </c>
      <c r="I108" s="22">
        <v>358525.59239999996</v>
      </c>
      <c r="J108" s="22" t="s">
        <v>4</v>
      </c>
      <c r="K108" s="22"/>
      <c r="L108" s="3" t="s">
        <v>147</v>
      </c>
      <c r="M108" s="3" t="s">
        <v>179</v>
      </c>
      <c r="N108" s="9" t="s">
        <v>430</v>
      </c>
      <c r="O108" s="10" t="s">
        <v>431</v>
      </c>
      <c r="P108" s="4">
        <f t="shared" si="14"/>
        <v>48</v>
      </c>
      <c r="Q108" s="4" t="str">
        <f t="shared" si="16"/>
        <v>46-55</v>
      </c>
      <c r="R108" s="11">
        <v>1959</v>
      </c>
      <c r="S108" s="4">
        <v>4</v>
      </c>
      <c r="T108" s="4">
        <v>7</v>
      </c>
      <c r="U108" s="3" t="s">
        <v>175</v>
      </c>
      <c r="V108" s="3" t="s">
        <v>5</v>
      </c>
      <c r="W108" s="3" t="s">
        <v>13</v>
      </c>
      <c r="X108" s="3" t="s">
        <v>33</v>
      </c>
      <c r="Y108" s="4">
        <v>4</v>
      </c>
      <c r="Z108" s="3" t="s">
        <v>36</v>
      </c>
      <c r="AA108" s="3" t="s">
        <v>39</v>
      </c>
    </row>
    <row r="109" spans="2:27" ht="14.25" customHeight="1" x14ac:dyDescent="0.3">
      <c r="B109" s="34">
        <f t="shared" si="15"/>
        <v>4010</v>
      </c>
      <c r="C109" s="4">
        <v>4</v>
      </c>
      <c r="D109" s="4">
        <v>2007</v>
      </c>
      <c r="E109" s="4">
        <v>11</v>
      </c>
      <c r="F109" s="3" t="s">
        <v>1</v>
      </c>
      <c r="G109" s="5">
        <v>10</v>
      </c>
      <c r="H109" s="7">
        <v>794.51840000000004</v>
      </c>
      <c r="I109" s="22">
        <v>223917.33600000001</v>
      </c>
      <c r="J109" s="22" t="s">
        <v>4</v>
      </c>
      <c r="K109" s="22"/>
      <c r="L109" s="3" t="s">
        <v>151</v>
      </c>
      <c r="M109" s="3" t="s">
        <v>179</v>
      </c>
      <c r="N109" s="9" t="s">
        <v>438</v>
      </c>
      <c r="O109" s="10" t="s">
        <v>439</v>
      </c>
      <c r="P109" s="4">
        <f t="shared" si="14"/>
        <v>48</v>
      </c>
      <c r="Q109" s="4" t="str">
        <f t="shared" si="16"/>
        <v>46-55</v>
      </c>
      <c r="R109" s="11">
        <v>1959</v>
      </c>
      <c r="S109" s="4">
        <v>11</v>
      </c>
      <c r="T109" s="4">
        <v>25</v>
      </c>
      <c r="U109" s="3" t="s">
        <v>175</v>
      </c>
      <c r="V109" s="3" t="s">
        <v>5</v>
      </c>
      <c r="W109" s="3" t="s">
        <v>13</v>
      </c>
      <c r="X109" s="3" t="s">
        <v>33</v>
      </c>
      <c r="Y109" s="4">
        <v>5</v>
      </c>
      <c r="Z109" s="3" t="s">
        <v>35</v>
      </c>
      <c r="AA109" s="3" t="s">
        <v>525</v>
      </c>
    </row>
    <row r="110" spans="2:27" ht="14.25" customHeight="1" x14ac:dyDescent="0.3">
      <c r="B110" s="34">
        <f t="shared" si="15"/>
        <v>4011</v>
      </c>
      <c r="C110" s="4">
        <v>4</v>
      </c>
      <c r="D110" s="4">
        <v>2007</v>
      </c>
      <c r="E110" s="4">
        <v>11</v>
      </c>
      <c r="F110" s="3" t="s">
        <v>1</v>
      </c>
      <c r="G110" s="5">
        <v>11</v>
      </c>
      <c r="H110" s="7">
        <v>794.51840000000004</v>
      </c>
      <c r="I110" s="22">
        <v>201518.89440000002</v>
      </c>
      <c r="J110" s="22" t="s">
        <v>4</v>
      </c>
      <c r="K110" s="22"/>
      <c r="L110" s="3" t="s">
        <v>151</v>
      </c>
      <c r="M110" s="3" t="s">
        <v>179</v>
      </c>
      <c r="N110" s="9" t="s">
        <v>438</v>
      </c>
      <c r="O110" s="10" t="s">
        <v>439</v>
      </c>
      <c r="P110" s="4">
        <f t="shared" si="14"/>
        <v>48</v>
      </c>
      <c r="Q110" s="4" t="str">
        <f t="shared" si="16"/>
        <v>46-55</v>
      </c>
      <c r="R110" s="11">
        <v>1959</v>
      </c>
      <c r="S110" s="4">
        <v>11</v>
      </c>
      <c r="T110" s="4">
        <v>25</v>
      </c>
      <c r="U110" s="3" t="s">
        <v>175</v>
      </c>
      <c r="V110" s="3" t="s">
        <v>5</v>
      </c>
      <c r="W110" s="3" t="s">
        <v>13</v>
      </c>
      <c r="X110" s="3" t="s">
        <v>33</v>
      </c>
      <c r="Y110" s="4">
        <v>5</v>
      </c>
      <c r="Z110" s="3" t="s">
        <v>35</v>
      </c>
      <c r="AA110" s="3" t="s">
        <v>525</v>
      </c>
    </row>
    <row r="111" spans="2:27" ht="14.25" customHeight="1" x14ac:dyDescent="0.3">
      <c r="B111" s="34">
        <f t="shared" si="15"/>
        <v>3035</v>
      </c>
      <c r="C111" s="4">
        <v>3</v>
      </c>
      <c r="D111" s="4">
        <v>2007</v>
      </c>
      <c r="E111" s="12">
        <v>12</v>
      </c>
      <c r="F111" s="3" t="s">
        <v>1</v>
      </c>
      <c r="G111" s="4">
        <v>35</v>
      </c>
      <c r="H111" s="7">
        <v>781.0684</v>
      </c>
      <c r="I111" s="22">
        <v>269278.57199999999</v>
      </c>
      <c r="J111" s="22" t="s">
        <v>4</v>
      </c>
      <c r="K111" s="22"/>
      <c r="L111" s="3" t="s">
        <v>159</v>
      </c>
      <c r="M111" s="3" t="s">
        <v>179</v>
      </c>
      <c r="N111" s="9" t="s">
        <v>219</v>
      </c>
      <c r="O111" s="10" t="s">
        <v>220</v>
      </c>
      <c r="P111" s="4">
        <f t="shared" si="14"/>
        <v>48</v>
      </c>
      <c r="Q111" s="4" t="str">
        <f t="shared" si="16"/>
        <v>46-55</v>
      </c>
      <c r="R111" s="11">
        <v>1959</v>
      </c>
      <c r="S111" s="4">
        <v>8</v>
      </c>
      <c r="T111" s="4">
        <v>5.9999999999999991</v>
      </c>
      <c r="U111" s="3" t="s">
        <v>175</v>
      </c>
      <c r="V111" s="3" t="s">
        <v>5</v>
      </c>
      <c r="W111" s="3" t="s">
        <v>13</v>
      </c>
      <c r="X111" s="3" t="s">
        <v>33</v>
      </c>
      <c r="Y111" s="4">
        <v>4</v>
      </c>
      <c r="Z111" s="3" t="s">
        <v>36</v>
      </c>
      <c r="AA111" s="3" t="s">
        <v>39</v>
      </c>
    </row>
    <row r="112" spans="2:27" ht="14.25" customHeight="1" x14ac:dyDescent="0.3">
      <c r="B112" s="34">
        <f t="shared" si="15"/>
        <v>3037</v>
      </c>
      <c r="C112" s="4">
        <v>3</v>
      </c>
      <c r="D112" s="4">
        <v>2007</v>
      </c>
      <c r="E112" s="12">
        <v>12</v>
      </c>
      <c r="F112" s="3" t="s">
        <v>1</v>
      </c>
      <c r="G112" s="4">
        <v>37</v>
      </c>
      <c r="H112" s="7">
        <v>720.81239999999991</v>
      </c>
      <c r="I112" s="22">
        <v>204808.16039999996</v>
      </c>
      <c r="J112" s="22" t="s">
        <v>4</v>
      </c>
      <c r="K112" s="22"/>
      <c r="L112" s="3" t="s">
        <v>165</v>
      </c>
      <c r="M112" s="3" t="s">
        <v>179</v>
      </c>
      <c r="N112" s="9" t="s">
        <v>274</v>
      </c>
      <c r="O112" s="10" t="s">
        <v>275</v>
      </c>
      <c r="P112" s="4">
        <f t="shared" si="14"/>
        <v>48</v>
      </c>
      <c r="Q112" s="4" t="str">
        <f t="shared" si="16"/>
        <v>46-55</v>
      </c>
      <c r="R112" s="11">
        <v>1959</v>
      </c>
      <c r="S112" s="4">
        <v>11</v>
      </c>
      <c r="T112" s="4">
        <v>2.9999999999999996</v>
      </c>
      <c r="U112" s="3" t="s">
        <v>177</v>
      </c>
      <c r="V112" s="3" t="s">
        <v>5</v>
      </c>
      <c r="W112" s="3" t="s">
        <v>13</v>
      </c>
      <c r="X112" s="3" t="s">
        <v>34</v>
      </c>
      <c r="Y112" s="4">
        <v>2</v>
      </c>
      <c r="Z112" s="3" t="s">
        <v>36</v>
      </c>
      <c r="AA112" s="3" t="s">
        <v>525</v>
      </c>
    </row>
    <row r="113" spans="2:27" ht="14.25" customHeight="1" x14ac:dyDescent="0.3">
      <c r="B113" s="34">
        <f t="shared" si="15"/>
        <v>2032</v>
      </c>
      <c r="C113" s="4">
        <v>2</v>
      </c>
      <c r="D113" s="4">
        <v>2006</v>
      </c>
      <c r="E113" s="4">
        <v>8</v>
      </c>
      <c r="F113" s="3" t="s">
        <v>1</v>
      </c>
      <c r="G113" s="5">
        <v>32</v>
      </c>
      <c r="H113" s="7">
        <v>927.83479999999997</v>
      </c>
      <c r="I113" s="22">
        <v>306878.45759999997</v>
      </c>
      <c r="J113" s="22" t="s">
        <v>4</v>
      </c>
      <c r="K113" s="22"/>
      <c r="L113" s="3" t="s">
        <v>73</v>
      </c>
      <c r="M113" s="3" t="s">
        <v>179</v>
      </c>
      <c r="N113" s="9" t="s">
        <v>272</v>
      </c>
      <c r="O113" s="10" t="s">
        <v>273</v>
      </c>
      <c r="P113" s="4">
        <f t="shared" si="14"/>
        <v>49</v>
      </c>
      <c r="Q113" s="4" t="str">
        <f t="shared" si="16"/>
        <v>46-55</v>
      </c>
      <c r="R113" s="11">
        <v>1957</v>
      </c>
      <c r="S113" s="4">
        <v>3</v>
      </c>
      <c r="T113" s="4">
        <v>20</v>
      </c>
      <c r="U113" s="3" t="s">
        <v>175</v>
      </c>
      <c r="V113" s="3" t="s">
        <v>5</v>
      </c>
      <c r="W113" s="3" t="s">
        <v>13</v>
      </c>
      <c r="X113" s="3" t="s">
        <v>33</v>
      </c>
      <c r="Y113" s="4">
        <v>3</v>
      </c>
      <c r="Z113" s="3" t="s">
        <v>36</v>
      </c>
      <c r="AA113" s="3" t="s">
        <v>39</v>
      </c>
    </row>
    <row r="114" spans="2:27" ht="14.25" customHeight="1" x14ac:dyDescent="0.3">
      <c r="B114" s="34">
        <f t="shared" si="15"/>
        <v>2018</v>
      </c>
      <c r="C114" s="4">
        <v>2</v>
      </c>
      <c r="D114" s="4">
        <v>2007</v>
      </c>
      <c r="E114" s="4">
        <v>2</v>
      </c>
      <c r="F114" s="3" t="s">
        <v>1</v>
      </c>
      <c r="G114" s="5">
        <v>18</v>
      </c>
      <c r="H114" s="7">
        <v>927.83479999999997</v>
      </c>
      <c r="I114" s="22">
        <v>275394.24839999998</v>
      </c>
      <c r="J114" s="22" t="s">
        <v>4</v>
      </c>
      <c r="K114" s="22"/>
      <c r="L114" s="3" t="s">
        <v>101</v>
      </c>
      <c r="M114" s="3" t="s">
        <v>179</v>
      </c>
      <c r="N114" s="9" t="s">
        <v>340</v>
      </c>
      <c r="O114" s="10" t="s">
        <v>341</v>
      </c>
      <c r="P114" s="4">
        <f t="shared" si="14"/>
        <v>49</v>
      </c>
      <c r="Q114" s="4" t="str">
        <f t="shared" si="16"/>
        <v>46-55</v>
      </c>
      <c r="R114" s="11">
        <v>1958</v>
      </c>
      <c r="S114" s="4">
        <v>12</v>
      </c>
      <c r="T114" s="4">
        <v>5.9999999999999991</v>
      </c>
      <c r="U114" s="3" t="s">
        <v>175</v>
      </c>
      <c r="V114" s="3" t="s">
        <v>5</v>
      </c>
      <c r="W114" s="3" t="s">
        <v>13</v>
      </c>
      <c r="X114" s="3" t="s">
        <v>33</v>
      </c>
      <c r="Y114" s="4">
        <v>3</v>
      </c>
      <c r="Z114" s="3" t="s">
        <v>36</v>
      </c>
      <c r="AA114" s="3" t="s">
        <v>525</v>
      </c>
    </row>
    <row r="115" spans="2:27" ht="14.25" customHeight="1" x14ac:dyDescent="0.3">
      <c r="B115" s="34">
        <f t="shared" si="15"/>
        <v>2035</v>
      </c>
      <c r="C115" s="4">
        <v>2</v>
      </c>
      <c r="D115" s="4">
        <v>2007</v>
      </c>
      <c r="E115" s="4">
        <v>5</v>
      </c>
      <c r="F115" s="3" t="s">
        <v>1</v>
      </c>
      <c r="G115" s="5">
        <v>35</v>
      </c>
      <c r="H115" s="7">
        <v>785.48</v>
      </c>
      <c r="I115" s="22">
        <v>192092.24</v>
      </c>
      <c r="J115" s="22" t="s">
        <v>4</v>
      </c>
      <c r="K115" s="22"/>
      <c r="L115" s="3" t="s">
        <v>124</v>
      </c>
      <c r="M115" s="3" t="s">
        <v>179</v>
      </c>
      <c r="N115" s="9" t="s">
        <v>391</v>
      </c>
      <c r="O115" s="10" t="s">
        <v>392</v>
      </c>
      <c r="P115" s="4">
        <f t="shared" si="14"/>
        <v>49</v>
      </c>
      <c r="Q115" s="4" t="str">
        <f t="shared" si="16"/>
        <v>46-55</v>
      </c>
      <c r="R115" s="11">
        <v>1958</v>
      </c>
      <c r="S115" s="4">
        <v>4</v>
      </c>
      <c r="T115" s="4">
        <v>15</v>
      </c>
      <c r="U115" s="3" t="s">
        <v>177</v>
      </c>
      <c r="V115" s="3" t="s">
        <v>5</v>
      </c>
      <c r="W115" s="3" t="s">
        <v>13</v>
      </c>
      <c r="X115" s="3" t="s">
        <v>33</v>
      </c>
      <c r="Y115" s="4">
        <v>3</v>
      </c>
      <c r="Z115" s="3" t="s">
        <v>35</v>
      </c>
      <c r="AA115" s="3" t="s">
        <v>182</v>
      </c>
    </row>
    <row r="116" spans="2:27" ht="14.25" customHeight="1" x14ac:dyDescent="0.3">
      <c r="B116" s="34">
        <f t="shared" si="15"/>
        <v>5025</v>
      </c>
      <c r="C116" s="4">
        <v>5</v>
      </c>
      <c r="D116" s="4">
        <v>2008</v>
      </c>
      <c r="E116" s="4">
        <v>12</v>
      </c>
      <c r="F116" s="3" t="s">
        <v>1</v>
      </c>
      <c r="G116" s="5">
        <v>25</v>
      </c>
      <c r="H116" s="7">
        <v>618.16200000000003</v>
      </c>
      <c r="I116" s="22">
        <v>165430.28200000001</v>
      </c>
      <c r="J116" s="22" t="s">
        <v>4</v>
      </c>
      <c r="K116" s="22"/>
      <c r="L116" s="3" t="s">
        <v>513</v>
      </c>
      <c r="M116" s="3" t="s">
        <v>179</v>
      </c>
      <c r="N116" s="9" t="s">
        <v>456</v>
      </c>
      <c r="O116" s="10" t="s">
        <v>457</v>
      </c>
      <c r="P116" s="4">
        <f t="shared" si="14"/>
        <v>49</v>
      </c>
      <c r="Q116" s="4" t="str">
        <f t="shared" si="16"/>
        <v>46-55</v>
      </c>
      <c r="R116" s="11">
        <v>1959</v>
      </c>
      <c r="S116" s="4">
        <v>6</v>
      </c>
      <c r="T116" s="4">
        <v>5</v>
      </c>
      <c r="U116" s="3" t="s">
        <v>177</v>
      </c>
      <c r="V116" s="3" t="s">
        <v>5</v>
      </c>
      <c r="W116" s="3" t="s">
        <v>13</v>
      </c>
      <c r="X116" s="3" t="s">
        <v>34</v>
      </c>
      <c r="Y116" s="4">
        <v>5</v>
      </c>
      <c r="Z116" s="3" t="s">
        <v>36</v>
      </c>
      <c r="AA116" s="3" t="s">
        <v>39</v>
      </c>
    </row>
    <row r="117" spans="2:27" ht="14.25" customHeight="1" x14ac:dyDescent="0.3">
      <c r="B117" s="34">
        <f t="shared" si="15"/>
        <v>2029</v>
      </c>
      <c r="C117" s="4">
        <v>2</v>
      </c>
      <c r="D117" s="4">
        <v>2006</v>
      </c>
      <c r="E117" s="4">
        <v>9</v>
      </c>
      <c r="F117" s="3" t="s">
        <v>1</v>
      </c>
      <c r="G117" s="5">
        <v>29</v>
      </c>
      <c r="H117" s="7">
        <v>1109.2483999999999</v>
      </c>
      <c r="I117" s="22">
        <v>310223.29079999996</v>
      </c>
      <c r="J117" s="22" t="s">
        <v>4</v>
      </c>
      <c r="K117" s="22"/>
      <c r="L117" s="3" t="s">
        <v>83</v>
      </c>
      <c r="M117" s="3" t="s">
        <v>179</v>
      </c>
      <c r="N117" s="9" t="s">
        <v>308</v>
      </c>
      <c r="O117" s="10" t="s">
        <v>309</v>
      </c>
      <c r="P117" s="4">
        <f t="shared" si="14"/>
        <v>50</v>
      </c>
      <c r="Q117" s="4" t="str">
        <f t="shared" si="16"/>
        <v>46-55</v>
      </c>
      <c r="R117" s="11">
        <v>1956</v>
      </c>
      <c r="S117" s="4">
        <v>3</v>
      </c>
      <c r="T117" s="4">
        <v>13</v>
      </c>
      <c r="U117" s="3" t="s">
        <v>175</v>
      </c>
      <c r="V117" s="3" t="s">
        <v>5</v>
      </c>
      <c r="W117" s="3" t="s">
        <v>13</v>
      </c>
      <c r="X117" s="3" t="s">
        <v>33</v>
      </c>
      <c r="Y117" s="4">
        <v>5</v>
      </c>
      <c r="Z117" s="3" t="s">
        <v>35</v>
      </c>
      <c r="AA117" s="3" t="s">
        <v>525</v>
      </c>
    </row>
    <row r="118" spans="2:27" ht="14.25" customHeight="1" x14ac:dyDescent="0.3">
      <c r="B118" s="34">
        <f t="shared" si="15"/>
        <v>3007</v>
      </c>
      <c r="C118" s="4">
        <v>3</v>
      </c>
      <c r="D118" s="4">
        <v>2006</v>
      </c>
      <c r="E118" s="12">
        <v>10</v>
      </c>
      <c r="F118" s="3" t="s">
        <v>1</v>
      </c>
      <c r="G118" s="4">
        <v>7</v>
      </c>
      <c r="H118" s="7">
        <v>720.70479999999998</v>
      </c>
      <c r="I118" s="22">
        <v>231552.32559999998</v>
      </c>
      <c r="J118" s="22" t="s">
        <v>4</v>
      </c>
      <c r="K118" s="22"/>
      <c r="L118" s="3" t="s">
        <v>84</v>
      </c>
      <c r="M118" s="3" t="s">
        <v>179</v>
      </c>
      <c r="N118" s="9" t="s">
        <v>310</v>
      </c>
      <c r="O118" s="10" t="s">
        <v>311</v>
      </c>
      <c r="P118" s="4">
        <f t="shared" si="14"/>
        <v>50</v>
      </c>
      <c r="Q118" s="4" t="str">
        <f t="shared" si="16"/>
        <v>46-55</v>
      </c>
      <c r="R118" s="11">
        <v>1956</v>
      </c>
      <c r="S118" s="4">
        <v>3</v>
      </c>
      <c r="T118" s="4">
        <v>13</v>
      </c>
      <c r="U118" s="3" t="s">
        <v>175</v>
      </c>
      <c r="V118" s="3" t="s">
        <v>5</v>
      </c>
      <c r="W118" s="3" t="s">
        <v>13</v>
      </c>
      <c r="X118" s="3" t="s">
        <v>34</v>
      </c>
      <c r="Y118" s="4">
        <v>5</v>
      </c>
      <c r="Z118" s="3" t="s">
        <v>35</v>
      </c>
      <c r="AA118" s="3" t="s">
        <v>39</v>
      </c>
    </row>
    <row r="119" spans="2:27" ht="14.25" customHeight="1" x14ac:dyDescent="0.3">
      <c r="B119" s="34">
        <f t="shared" si="15"/>
        <v>3030</v>
      </c>
      <c r="C119" s="4">
        <v>3</v>
      </c>
      <c r="D119" s="4">
        <v>2006</v>
      </c>
      <c r="E119" s="12">
        <v>10</v>
      </c>
      <c r="F119" s="3" t="s">
        <v>1</v>
      </c>
      <c r="G119" s="4">
        <v>30</v>
      </c>
      <c r="H119" s="7">
        <v>720.81239999999991</v>
      </c>
      <c r="I119" s="22">
        <v>215774.28439999997</v>
      </c>
      <c r="J119" s="22" t="s">
        <v>4</v>
      </c>
      <c r="K119" s="22"/>
      <c r="L119" s="3" t="s">
        <v>84</v>
      </c>
      <c r="M119" s="3" t="s">
        <v>179</v>
      </c>
      <c r="N119" s="9" t="s">
        <v>310</v>
      </c>
      <c r="O119" s="10" t="s">
        <v>311</v>
      </c>
      <c r="P119" s="4">
        <f t="shared" si="14"/>
        <v>50</v>
      </c>
      <c r="Q119" s="4" t="str">
        <f t="shared" si="16"/>
        <v>46-55</v>
      </c>
      <c r="R119" s="11">
        <v>1956</v>
      </c>
      <c r="S119" s="4">
        <v>3</v>
      </c>
      <c r="T119" s="4">
        <v>13</v>
      </c>
      <c r="U119" s="3" t="s">
        <v>175</v>
      </c>
      <c r="V119" s="3" t="s">
        <v>5</v>
      </c>
      <c r="W119" s="3" t="s">
        <v>13</v>
      </c>
      <c r="X119" s="3" t="s">
        <v>33</v>
      </c>
      <c r="Y119" s="4">
        <v>5</v>
      </c>
      <c r="Z119" s="3" t="s">
        <v>35</v>
      </c>
      <c r="AA119" s="3" t="s">
        <v>39</v>
      </c>
    </row>
    <row r="120" spans="2:27" ht="14.25" customHeight="1" x14ac:dyDescent="0.3">
      <c r="B120" s="34">
        <f t="shared" si="15"/>
        <v>2003</v>
      </c>
      <c r="C120" s="4">
        <v>2</v>
      </c>
      <c r="D120" s="4">
        <v>2006</v>
      </c>
      <c r="E120" s="4">
        <v>12</v>
      </c>
      <c r="F120" s="3" t="s">
        <v>1</v>
      </c>
      <c r="G120" s="5">
        <v>3</v>
      </c>
      <c r="H120" s="7">
        <v>927.08159999999998</v>
      </c>
      <c r="I120" s="22">
        <v>289727.99040000001</v>
      </c>
      <c r="J120" s="22" t="s">
        <v>4</v>
      </c>
      <c r="K120" s="22"/>
      <c r="L120" s="3" t="s">
        <v>93</v>
      </c>
      <c r="M120" s="3" t="s">
        <v>179</v>
      </c>
      <c r="N120" s="11" t="s">
        <v>484</v>
      </c>
      <c r="O120" s="11" t="s">
        <v>485</v>
      </c>
      <c r="P120" s="4">
        <f t="shared" si="14"/>
        <v>51</v>
      </c>
      <c r="Q120" s="4" t="str">
        <f t="shared" si="16"/>
        <v>46-55</v>
      </c>
      <c r="R120" s="11">
        <v>1955</v>
      </c>
      <c r="S120" s="4">
        <v>12</v>
      </c>
      <c r="T120" s="4">
        <v>2</v>
      </c>
      <c r="U120" s="3" t="s">
        <v>175</v>
      </c>
      <c r="V120" s="3" t="s">
        <v>6</v>
      </c>
      <c r="W120" s="3"/>
      <c r="X120" s="3" t="s">
        <v>34</v>
      </c>
      <c r="Y120" s="4">
        <v>3</v>
      </c>
      <c r="Z120" s="3" t="s">
        <v>35</v>
      </c>
      <c r="AA120" s="3" t="s">
        <v>39</v>
      </c>
    </row>
    <row r="121" spans="2:27" ht="14.25" customHeight="1" x14ac:dyDescent="0.3">
      <c r="B121" s="34">
        <f t="shared" si="15"/>
        <v>5039</v>
      </c>
      <c r="C121" s="4">
        <v>5</v>
      </c>
      <c r="D121" s="4">
        <v>2008</v>
      </c>
      <c r="E121" s="4">
        <v>5</v>
      </c>
      <c r="F121" s="3" t="s">
        <v>1</v>
      </c>
      <c r="G121" s="5">
        <v>39</v>
      </c>
      <c r="H121" s="7">
        <v>798.28440000000001</v>
      </c>
      <c r="I121" s="22">
        <v>195874.94399999999</v>
      </c>
      <c r="J121" s="22" t="s">
        <v>4</v>
      </c>
      <c r="K121" s="22"/>
      <c r="L121" s="3" t="s">
        <v>494</v>
      </c>
      <c r="M121" s="3" t="s">
        <v>179</v>
      </c>
      <c r="N121" s="9" t="s">
        <v>379</v>
      </c>
      <c r="O121" s="10" t="s">
        <v>380</v>
      </c>
      <c r="P121" s="4">
        <f t="shared" si="14"/>
        <v>51</v>
      </c>
      <c r="Q121" s="4" t="str">
        <f t="shared" si="16"/>
        <v>46-55</v>
      </c>
      <c r="R121" s="11">
        <v>1957</v>
      </c>
      <c r="S121" s="4">
        <v>3</v>
      </c>
      <c r="T121" s="4">
        <v>6</v>
      </c>
      <c r="U121" s="3" t="s">
        <v>175</v>
      </c>
      <c r="V121" s="3" t="s">
        <v>5</v>
      </c>
      <c r="W121" s="3" t="s">
        <v>13</v>
      </c>
      <c r="X121" s="3" t="s">
        <v>33</v>
      </c>
      <c r="Y121" s="4">
        <v>3</v>
      </c>
      <c r="Z121" s="3" t="s">
        <v>36</v>
      </c>
      <c r="AA121" s="3" t="s">
        <v>525</v>
      </c>
    </row>
    <row r="122" spans="2:27" ht="14.25" customHeight="1" x14ac:dyDescent="0.3">
      <c r="B122" s="34">
        <f t="shared" si="15"/>
        <v>5030</v>
      </c>
      <c r="C122" s="4">
        <v>5</v>
      </c>
      <c r="D122" s="4">
        <v>2010</v>
      </c>
      <c r="E122" s="4">
        <v>5</v>
      </c>
      <c r="F122" s="3" t="s">
        <v>1</v>
      </c>
      <c r="G122" s="5">
        <v>30</v>
      </c>
      <c r="H122" s="7">
        <v>1057.9232</v>
      </c>
      <c r="I122" s="22">
        <v>357538.19519999996</v>
      </c>
      <c r="J122" s="22" t="s">
        <v>4</v>
      </c>
      <c r="K122" s="22"/>
      <c r="L122" s="3" t="s">
        <v>499</v>
      </c>
      <c r="M122" s="3" t="s">
        <v>179</v>
      </c>
      <c r="N122" s="9" t="s">
        <v>387</v>
      </c>
      <c r="O122" s="10" t="s">
        <v>388</v>
      </c>
      <c r="P122" s="4">
        <f t="shared" si="14"/>
        <v>51</v>
      </c>
      <c r="Q122" s="4" t="str">
        <f t="shared" si="16"/>
        <v>46-55</v>
      </c>
      <c r="R122" s="11">
        <v>1959</v>
      </c>
      <c r="S122" s="4">
        <v>4</v>
      </c>
      <c r="T122" s="4">
        <v>20</v>
      </c>
      <c r="U122" s="3" t="s">
        <v>175</v>
      </c>
      <c r="V122" s="3" t="s">
        <v>5</v>
      </c>
      <c r="W122" s="3" t="s">
        <v>14</v>
      </c>
      <c r="X122" s="3" t="s">
        <v>33</v>
      </c>
      <c r="Y122" s="4">
        <v>3</v>
      </c>
      <c r="Z122" s="3" t="s">
        <v>36</v>
      </c>
      <c r="AA122" s="3" t="s">
        <v>525</v>
      </c>
    </row>
    <row r="123" spans="2:27" ht="14.25" customHeight="1" x14ac:dyDescent="0.3">
      <c r="B123" s="34">
        <f t="shared" si="15"/>
        <v>3041</v>
      </c>
      <c r="C123" s="4">
        <v>3</v>
      </c>
      <c r="D123" s="4">
        <v>2008</v>
      </c>
      <c r="E123" s="12">
        <v>1</v>
      </c>
      <c r="F123" s="3" t="s">
        <v>1</v>
      </c>
      <c r="G123" s="4">
        <v>41</v>
      </c>
      <c r="H123" s="7">
        <v>781.0684</v>
      </c>
      <c r="I123" s="22">
        <v>239248.7512</v>
      </c>
      <c r="J123" s="22" t="s">
        <v>4</v>
      </c>
      <c r="K123" s="22"/>
      <c r="L123" s="3" t="s">
        <v>167</v>
      </c>
      <c r="M123" s="3" t="s">
        <v>179</v>
      </c>
      <c r="N123" s="9" t="s">
        <v>276</v>
      </c>
      <c r="O123" s="10" t="s">
        <v>277</v>
      </c>
      <c r="P123" s="4">
        <f t="shared" si="14"/>
        <v>51</v>
      </c>
      <c r="Q123" s="4" t="str">
        <f t="shared" si="16"/>
        <v>46-55</v>
      </c>
      <c r="R123" s="11">
        <v>1957</v>
      </c>
      <c r="S123" s="4">
        <v>9</v>
      </c>
      <c r="T123" s="4">
        <v>9</v>
      </c>
      <c r="U123" s="3" t="s">
        <v>175</v>
      </c>
      <c r="V123" s="3" t="s">
        <v>5</v>
      </c>
      <c r="W123" s="3" t="s">
        <v>13</v>
      </c>
      <c r="X123" s="3" t="s">
        <v>33</v>
      </c>
      <c r="Y123" s="4">
        <v>5</v>
      </c>
      <c r="Z123" s="3" t="s">
        <v>36</v>
      </c>
      <c r="AA123" s="3" t="s">
        <v>182</v>
      </c>
    </row>
    <row r="124" spans="2:27" ht="14.25" customHeight="1" x14ac:dyDescent="0.3">
      <c r="B124" s="34">
        <f t="shared" si="15"/>
        <v>2057</v>
      </c>
      <c r="C124" s="4">
        <v>2</v>
      </c>
      <c r="D124" s="4">
        <v>2006</v>
      </c>
      <c r="E124" s="4">
        <v>9</v>
      </c>
      <c r="F124" s="6" t="s">
        <v>1</v>
      </c>
      <c r="G124" s="5">
        <v>57</v>
      </c>
      <c r="H124" s="7">
        <v>1396.8632</v>
      </c>
      <c r="I124" s="22">
        <v>382277.14880000002</v>
      </c>
      <c r="J124" s="22" t="s">
        <v>4</v>
      </c>
      <c r="K124" s="22"/>
      <c r="L124" s="3" t="s">
        <v>78</v>
      </c>
      <c r="M124" s="3" t="s">
        <v>179</v>
      </c>
      <c r="N124" s="9" t="s">
        <v>296</v>
      </c>
      <c r="O124" s="10" t="s">
        <v>297</v>
      </c>
      <c r="P124" s="4">
        <f t="shared" si="14"/>
        <v>52</v>
      </c>
      <c r="Q124" s="4" t="str">
        <f t="shared" si="16"/>
        <v>46-55</v>
      </c>
      <c r="R124" s="11">
        <v>1954</v>
      </c>
      <c r="S124" s="4">
        <v>9</v>
      </c>
      <c r="T124" s="4">
        <v>28.999999999999996</v>
      </c>
      <c r="U124" s="3" t="s">
        <v>175</v>
      </c>
      <c r="V124" s="3" t="s">
        <v>5</v>
      </c>
      <c r="W124" s="3" t="s">
        <v>13</v>
      </c>
      <c r="X124" s="3" t="s">
        <v>33</v>
      </c>
      <c r="Y124" s="4">
        <v>4</v>
      </c>
      <c r="Z124" s="3" t="s">
        <v>35</v>
      </c>
      <c r="AA124" s="3" t="s">
        <v>39</v>
      </c>
    </row>
    <row r="125" spans="2:27" ht="14.25" customHeight="1" x14ac:dyDescent="0.3">
      <c r="B125" s="34">
        <f t="shared" si="15"/>
        <v>4028</v>
      </c>
      <c r="C125" s="4">
        <v>4</v>
      </c>
      <c r="D125" s="4">
        <v>2007</v>
      </c>
      <c r="E125" s="4">
        <v>2</v>
      </c>
      <c r="F125" s="3" t="s">
        <v>1</v>
      </c>
      <c r="G125" s="5">
        <v>28</v>
      </c>
      <c r="H125" s="7">
        <v>794.51840000000004</v>
      </c>
      <c r="I125" s="22">
        <v>248422.66399999999</v>
      </c>
      <c r="J125" s="22" t="s">
        <v>4</v>
      </c>
      <c r="K125" s="22"/>
      <c r="L125" s="3" t="s">
        <v>516</v>
      </c>
      <c r="M125" s="3" t="s">
        <v>179</v>
      </c>
      <c r="N125" s="15" t="s">
        <v>477</v>
      </c>
      <c r="O125" s="3" t="s">
        <v>517</v>
      </c>
      <c r="P125" s="4">
        <f t="shared" si="14"/>
        <v>52</v>
      </c>
      <c r="Q125" s="4" t="str">
        <f t="shared" si="16"/>
        <v>46-55</v>
      </c>
      <c r="R125" s="11">
        <v>1955</v>
      </c>
      <c r="S125" s="4">
        <v>8</v>
      </c>
      <c r="T125" s="4">
        <v>7</v>
      </c>
      <c r="U125" s="3" t="s">
        <v>177</v>
      </c>
      <c r="V125" s="3" t="s">
        <v>5</v>
      </c>
      <c r="W125" s="3" t="s">
        <v>13</v>
      </c>
      <c r="X125" s="3" t="s">
        <v>34</v>
      </c>
      <c r="Y125" s="4">
        <v>4</v>
      </c>
      <c r="Z125" s="3" t="s">
        <v>35</v>
      </c>
      <c r="AA125" s="3" t="s">
        <v>525</v>
      </c>
    </row>
    <row r="126" spans="2:27" ht="14.25" customHeight="1" x14ac:dyDescent="0.3">
      <c r="B126" s="34">
        <f t="shared" si="15"/>
        <v>3032</v>
      </c>
      <c r="C126" s="4">
        <v>3</v>
      </c>
      <c r="D126" s="4">
        <v>2007</v>
      </c>
      <c r="E126" s="12">
        <v>8</v>
      </c>
      <c r="F126" s="3" t="s">
        <v>1</v>
      </c>
      <c r="G126" s="4">
        <v>32</v>
      </c>
      <c r="H126" s="7">
        <v>923.20799999999997</v>
      </c>
      <c r="I126" s="22">
        <v>242740.65599999999</v>
      </c>
      <c r="J126" s="22" t="s">
        <v>4</v>
      </c>
      <c r="K126" s="22"/>
      <c r="L126" s="3" t="s">
        <v>136</v>
      </c>
      <c r="M126" s="3" t="s">
        <v>179</v>
      </c>
      <c r="N126" s="9" t="s">
        <v>412</v>
      </c>
      <c r="O126" s="10" t="s">
        <v>413</v>
      </c>
      <c r="P126" s="4">
        <f t="shared" si="14"/>
        <v>53</v>
      </c>
      <c r="Q126" s="4" t="str">
        <f t="shared" si="16"/>
        <v>46-55</v>
      </c>
      <c r="R126" s="11">
        <v>1954</v>
      </c>
      <c r="S126" s="4">
        <v>2</v>
      </c>
      <c r="T126" s="4">
        <v>27</v>
      </c>
      <c r="U126" s="3" t="s">
        <v>175</v>
      </c>
      <c r="V126" s="3" t="s">
        <v>7</v>
      </c>
      <c r="W126" s="3" t="s">
        <v>15</v>
      </c>
      <c r="X126" s="3" t="s">
        <v>34</v>
      </c>
      <c r="Y126" s="4">
        <v>4</v>
      </c>
      <c r="Z126" s="3" t="s">
        <v>35</v>
      </c>
      <c r="AA126" s="3" t="s">
        <v>525</v>
      </c>
    </row>
    <row r="127" spans="2:27" ht="14.25" customHeight="1" x14ac:dyDescent="0.3">
      <c r="B127" s="34">
        <f t="shared" si="15"/>
        <v>3013</v>
      </c>
      <c r="C127" s="4">
        <v>3</v>
      </c>
      <c r="D127" s="4">
        <v>2007</v>
      </c>
      <c r="E127" s="12">
        <v>8</v>
      </c>
      <c r="F127" s="3" t="s">
        <v>1</v>
      </c>
      <c r="G127" s="4">
        <v>13</v>
      </c>
      <c r="H127" s="7">
        <v>781.0684</v>
      </c>
      <c r="I127" s="22">
        <v>253025.77720000001</v>
      </c>
      <c r="J127" s="22" t="s">
        <v>4</v>
      </c>
      <c r="K127" s="22"/>
      <c r="L127" s="3" t="s">
        <v>137</v>
      </c>
      <c r="M127" s="3" t="s">
        <v>179</v>
      </c>
      <c r="N127" s="9" t="s">
        <v>428</v>
      </c>
      <c r="O127" s="10" t="s">
        <v>429</v>
      </c>
      <c r="P127" s="4">
        <f t="shared" si="14"/>
        <v>53</v>
      </c>
      <c r="Q127" s="4" t="str">
        <f t="shared" si="16"/>
        <v>46-55</v>
      </c>
      <c r="R127" s="11">
        <v>1954</v>
      </c>
      <c r="S127" s="4">
        <v>1</v>
      </c>
      <c r="T127" s="4">
        <v>7</v>
      </c>
      <c r="U127" s="3" t="s">
        <v>175</v>
      </c>
      <c r="V127" s="3" t="s">
        <v>5</v>
      </c>
      <c r="W127" s="3" t="s">
        <v>15</v>
      </c>
      <c r="X127" s="3" t="s">
        <v>33</v>
      </c>
      <c r="Y127" s="4">
        <v>4</v>
      </c>
      <c r="Z127" s="3" t="s">
        <v>35</v>
      </c>
      <c r="AA127" s="3" t="s">
        <v>39</v>
      </c>
    </row>
    <row r="128" spans="2:27" ht="14.25" customHeight="1" x14ac:dyDescent="0.3">
      <c r="B128" s="34">
        <f t="shared" si="15"/>
        <v>1040</v>
      </c>
      <c r="C128" s="4">
        <v>1</v>
      </c>
      <c r="D128" s="4">
        <v>2006</v>
      </c>
      <c r="E128" s="4">
        <v>4</v>
      </c>
      <c r="F128" s="3" t="s">
        <v>1</v>
      </c>
      <c r="G128" s="5">
        <v>40</v>
      </c>
      <c r="H128" s="7">
        <v>782.25200000000007</v>
      </c>
      <c r="I128" s="22">
        <v>234172.38800000004</v>
      </c>
      <c r="J128" s="22" t="s">
        <v>4</v>
      </c>
      <c r="K128" s="22"/>
      <c r="L128" s="3" t="s">
        <v>67</v>
      </c>
      <c r="M128" s="3" t="s">
        <v>179</v>
      </c>
      <c r="N128" s="9" t="s">
        <v>236</v>
      </c>
      <c r="O128" s="10" t="s">
        <v>237</v>
      </c>
      <c r="P128" s="4">
        <f t="shared" si="14"/>
        <v>54</v>
      </c>
      <c r="Q128" s="4" t="str">
        <f t="shared" si="16"/>
        <v>46-55</v>
      </c>
      <c r="R128" s="11">
        <v>1952</v>
      </c>
      <c r="S128" s="4">
        <v>6</v>
      </c>
      <c r="T128" s="4">
        <v>19</v>
      </c>
      <c r="U128" s="3" t="s">
        <v>177</v>
      </c>
      <c r="V128" s="3" t="s">
        <v>5</v>
      </c>
      <c r="W128" s="3" t="s">
        <v>14</v>
      </c>
      <c r="X128" s="3" t="s">
        <v>33</v>
      </c>
      <c r="Y128" s="4">
        <v>3</v>
      </c>
      <c r="Z128" s="3" t="s">
        <v>35</v>
      </c>
      <c r="AA128" s="3" t="s">
        <v>525</v>
      </c>
    </row>
    <row r="129" spans="2:27" ht="14.25" customHeight="1" x14ac:dyDescent="0.3">
      <c r="B129" s="34">
        <f t="shared" si="15"/>
        <v>4031</v>
      </c>
      <c r="C129" s="4">
        <v>4</v>
      </c>
      <c r="D129" s="4">
        <v>2007</v>
      </c>
      <c r="E129" s="4">
        <v>6</v>
      </c>
      <c r="F129" s="3" t="s">
        <v>1</v>
      </c>
      <c r="G129" s="5">
        <v>31</v>
      </c>
      <c r="H129" s="7">
        <v>733.18639999999994</v>
      </c>
      <c r="I129" s="22">
        <v>200678.75119999997</v>
      </c>
      <c r="J129" s="22" t="s">
        <v>4</v>
      </c>
      <c r="K129" s="22"/>
      <c r="L129" s="3" t="s">
        <v>500</v>
      </c>
      <c r="M129" s="3" t="s">
        <v>179</v>
      </c>
      <c r="N129" s="9" t="s">
        <v>384</v>
      </c>
      <c r="O129" s="10" t="s">
        <v>238</v>
      </c>
      <c r="P129" s="4">
        <f t="shared" ref="P129:P142" si="17">IF((D129-R129)=0," ",D129-R129)</f>
        <v>54</v>
      </c>
      <c r="Q129" s="4" t="str">
        <f t="shared" si="16"/>
        <v>46-55</v>
      </c>
      <c r="R129" s="11">
        <v>1953</v>
      </c>
      <c r="S129" s="4">
        <v>6</v>
      </c>
      <c r="T129" s="4">
        <v>9</v>
      </c>
      <c r="U129" s="3" t="s">
        <v>175</v>
      </c>
      <c r="V129" s="3" t="s">
        <v>5</v>
      </c>
      <c r="W129" s="3" t="s">
        <v>19</v>
      </c>
      <c r="X129" s="3" t="s">
        <v>33</v>
      </c>
      <c r="Y129" s="4">
        <v>4</v>
      </c>
      <c r="Z129" s="3" t="s">
        <v>35</v>
      </c>
      <c r="AA129" s="3" t="s">
        <v>525</v>
      </c>
    </row>
    <row r="130" spans="2:27" ht="14.25" customHeight="1" x14ac:dyDescent="0.3">
      <c r="B130" s="34">
        <f t="shared" si="15"/>
        <v>4019</v>
      </c>
      <c r="C130" s="4">
        <v>4</v>
      </c>
      <c r="D130" s="4">
        <v>2007</v>
      </c>
      <c r="E130" s="4">
        <v>12</v>
      </c>
      <c r="F130" s="3" t="s">
        <v>1</v>
      </c>
      <c r="G130" s="5">
        <v>19</v>
      </c>
      <c r="H130" s="7">
        <v>733.18639999999994</v>
      </c>
      <c r="I130" s="22">
        <v>226578.51199999999</v>
      </c>
      <c r="J130" s="22" t="s">
        <v>4</v>
      </c>
      <c r="K130" s="22"/>
      <c r="L130" s="3" t="s">
        <v>504</v>
      </c>
      <c r="M130" s="3" t="s">
        <v>179</v>
      </c>
      <c r="N130" s="9" t="s">
        <v>432</v>
      </c>
      <c r="O130" s="10" t="s">
        <v>433</v>
      </c>
      <c r="P130" s="4">
        <f t="shared" si="17"/>
        <v>54</v>
      </c>
      <c r="Q130" s="4" t="str">
        <f t="shared" si="16"/>
        <v>46-55</v>
      </c>
      <c r="R130" s="11">
        <v>1953</v>
      </c>
      <c r="S130" s="4">
        <v>9</v>
      </c>
      <c r="T130" s="4">
        <v>15</v>
      </c>
      <c r="U130" s="3" t="s">
        <v>175</v>
      </c>
      <c r="V130" s="3" t="s">
        <v>5</v>
      </c>
      <c r="W130" s="3" t="s">
        <v>13</v>
      </c>
      <c r="X130" s="3" t="s">
        <v>33</v>
      </c>
      <c r="Y130" s="4">
        <v>4</v>
      </c>
      <c r="Z130" s="3" t="s">
        <v>35</v>
      </c>
      <c r="AA130" s="3" t="s">
        <v>525</v>
      </c>
    </row>
    <row r="131" spans="2:27" ht="14.25" customHeight="1" x14ac:dyDescent="0.3">
      <c r="B131" s="34">
        <f t="shared" si="15"/>
        <v>4029</v>
      </c>
      <c r="C131" s="4">
        <v>4</v>
      </c>
      <c r="D131" s="4">
        <v>2007</v>
      </c>
      <c r="E131" s="4">
        <v>11</v>
      </c>
      <c r="F131" s="3" t="s">
        <v>1</v>
      </c>
      <c r="G131" s="5">
        <v>29</v>
      </c>
      <c r="H131" s="7">
        <v>794.51840000000004</v>
      </c>
      <c r="I131" s="22">
        <v>200148.89440000002</v>
      </c>
      <c r="J131" s="22" t="s">
        <v>4</v>
      </c>
      <c r="K131" s="22"/>
      <c r="L131" s="3" t="s">
        <v>526</v>
      </c>
      <c r="M131" s="3" t="s">
        <v>179</v>
      </c>
      <c r="N131" s="9" t="s">
        <v>460</v>
      </c>
      <c r="O131" s="10" t="s">
        <v>290</v>
      </c>
      <c r="P131" s="4">
        <f t="shared" si="17"/>
        <v>54</v>
      </c>
      <c r="Q131" s="4" t="str">
        <f t="shared" si="16"/>
        <v>46-55</v>
      </c>
      <c r="R131" s="11">
        <v>1953</v>
      </c>
      <c r="S131" s="4">
        <v>7</v>
      </c>
      <c r="T131" s="4">
        <v>30</v>
      </c>
      <c r="U131" s="3" t="s">
        <v>177</v>
      </c>
      <c r="V131" s="3" t="s">
        <v>5</v>
      </c>
      <c r="W131" s="3" t="s">
        <v>13</v>
      </c>
      <c r="X131" s="3" t="s">
        <v>33</v>
      </c>
      <c r="Y131" s="4">
        <v>4</v>
      </c>
      <c r="Z131" s="3" t="s">
        <v>36</v>
      </c>
      <c r="AA131" s="3" t="s">
        <v>525</v>
      </c>
    </row>
    <row r="132" spans="2:27" ht="14.25" customHeight="1" x14ac:dyDescent="0.3">
      <c r="B132" s="34">
        <f t="shared" si="15"/>
        <v>1021</v>
      </c>
      <c r="C132" s="4">
        <v>1</v>
      </c>
      <c r="D132" s="4">
        <v>2004</v>
      </c>
      <c r="E132" s="4">
        <v>10</v>
      </c>
      <c r="F132" s="3" t="s">
        <v>1</v>
      </c>
      <c r="G132" s="5">
        <v>21</v>
      </c>
      <c r="H132" s="7">
        <v>756.21280000000002</v>
      </c>
      <c r="I132" s="22">
        <v>218585.92480000001</v>
      </c>
      <c r="J132" s="22" t="s">
        <v>4</v>
      </c>
      <c r="K132" s="22"/>
      <c r="L132" s="3" t="s">
        <v>43</v>
      </c>
      <c r="M132" s="3" t="s">
        <v>179</v>
      </c>
      <c r="N132" s="9" t="s">
        <v>188</v>
      </c>
      <c r="O132" s="10" t="s">
        <v>189</v>
      </c>
      <c r="P132" s="4">
        <f t="shared" si="17"/>
        <v>55</v>
      </c>
      <c r="Q132" s="4" t="str">
        <f t="shared" si="16"/>
        <v>46-55</v>
      </c>
      <c r="R132" s="11">
        <v>1949</v>
      </c>
      <c r="S132" s="4">
        <v>7.0000000000000009</v>
      </c>
      <c r="T132" s="4">
        <v>14</v>
      </c>
      <c r="U132" s="3" t="s">
        <v>175</v>
      </c>
      <c r="V132" s="3" t="s">
        <v>5</v>
      </c>
      <c r="W132" s="3" t="s">
        <v>17</v>
      </c>
      <c r="X132" s="3" t="s">
        <v>34</v>
      </c>
      <c r="Y132" s="4">
        <v>4</v>
      </c>
      <c r="Z132" s="3" t="s">
        <v>35</v>
      </c>
      <c r="AA132" s="3" t="s">
        <v>39</v>
      </c>
    </row>
    <row r="133" spans="2:27" ht="14.25" customHeight="1" x14ac:dyDescent="0.3">
      <c r="B133" s="34">
        <f t="shared" si="15"/>
        <v>1006</v>
      </c>
      <c r="C133" s="4">
        <v>1</v>
      </c>
      <c r="D133" s="4">
        <v>2005</v>
      </c>
      <c r="E133" s="4">
        <v>8</v>
      </c>
      <c r="F133" s="3" t="s">
        <v>1</v>
      </c>
      <c r="G133" s="5">
        <v>6</v>
      </c>
      <c r="H133" s="7">
        <v>736.62959999999987</v>
      </c>
      <c r="I133" s="22">
        <v>198841.69519999996</v>
      </c>
      <c r="J133" s="22" t="s">
        <v>4</v>
      </c>
      <c r="K133" s="22"/>
      <c r="L133" s="3" t="s">
        <v>58</v>
      </c>
      <c r="M133" s="3" t="s">
        <v>179</v>
      </c>
      <c r="N133" s="9" t="s">
        <v>238</v>
      </c>
      <c r="O133" s="10" t="s">
        <v>239</v>
      </c>
      <c r="P133" s="4">
        <f t="shared" si="17"/>
        <v>55</v>
      </c>
      <c r="Q133" s="4" t="str">
        <f t="shared" si="16"/>
        <v>46-55</v>
      </c>
      <c r="R133" s="11">
        <v>1950</v>
      </c>
      <c r="S133" s="4">
        <v>7.0000000000000009</v>
      </c>
      <c r="T133" s="4">
        <v>18</v>
      </c>
      <c r="U133" s="3" t="s">
        <v>175</v>
      </c>
      <c r="V133" s="3" t="s">
        <v>5</v>
      </c>
      <c r="W133" s="3" t="s">
        <v>14</v>
      </c>
      <c r="X133" s="3" t="s">
        <v>33</v>
      </c>
      <c r="Y133" s="4">
        <v>2</v>
      </c>
      <c r="Z133" s="3" t="s">
        <v>35</v>
      </c>
      <c r="AA133" s="3" t="s">
        <v>525</v>
      </c>
    </row>
    <row r="134" spans="2:27" ht="14.25" customHeight="1" x14ac:dyDescent="0.3">
      <c r="B134" s="34">
        <f t="shared" ref="B134:B165" si="18">C134*1000+G134</f>
        <v>2034</v>
      </c>
      <c r="C134" s="4">
        <v>2</v>
      </c>
      <c r="D134" s="4">
        <v>2007</v>
      </c>
      <c r="E134" s="4">
        <v>7</v>
      </c>
      <c r="F134" s="3" t="s">
        <v>1</v>
      </c>
      <c r="G134" s="5">
        <v>34</v>
      </c>
      <c r="H134" s="7">
        <v>785.48</v>
      </c>
      <c r="I134" s="22">
        <v>252927.84</v>
      </c>
      <c r="J134" s="22" t="s">
        <v>4</v>
      </c>
      <c r="K134" s="22"/>
      <c r="L134" s="3" t="s">
        <v>129</v>
      </c>
      <c r="M134" s="3" t="s">
        <v>179</v>
      </c>
      <c r="N134" s="9" t="s">
        <v>422</v>
      </c>
      <c r="O134" s="10" t="s">
        <v>423</v>
      </c>
      <c r="P134" s="4">
        <f t="shared" si="17"/>
        <v>55</v>
      </c>
      <c r="Q134" s="4" t="str">
        <f t="shared" ref="Q134:Q165" si="19">IF(P134&lt;26,"18-25",IF(P134&lt;36,"26-35",IF(P134&lt;46,"36-45",IF(P134&lt;56,"46-55",IF(P134&lt;66,"56-65","65+")))))</f>
        <v>46-55</v>
      </c>
      <c r="R134" s="11">
        <v>1952</v>
      </c>
      <c r="S134" s="4">
        <v>5</v>
      </c>
      <c r="T134" s="4">
        <v>15</v>
      </c>
      <c r="U134" s="3" t="s">
        <v>175</v>
      </c>
      <c r="V134" s="3" t="s">
        <v>5</v>
      </c>
      <c r="W134" s="3" t="s">
        <v>19</v>
      </c>
      <c r="X134" s="3" t="s">
        <v>33</v>
      </c>
      <c r="Y134" s="4">
        <v>2</v>
      </c>
      <c r="Z134" s="3" t="s">
        <v>36</v>
      </c>
      <c r="AA134" s="3" t="s">
        <v>182</v>
      </c>
    </row>
    <row r="135" spans="2:27" ht="14.25" customHeight="1" x14ac:dyDescent="0.3">
      <c r="B135" s="34">
        <f t="shared" si="18"/>
        <v>3021</v>
      </c>
      <c r="C135" s="4">
        <v>3</v>
      </c>
      <c r="D135" s="4">
        <v>2007</v>
      </c>
      <c r="E135" s="12">
        <v>7</v>
      </c>
      <c r="F135" s="3" t="s">
        <v>1</v>
      </c>
      <c r="G135" s="4">
        <v>21</v>
      </c>
      <c r="H135" s="7">
        <v>781.0684</v>
      </c>
      <c r="I135" s="22">
        <v>225290.22039999999</v>
      </c>
      <c r="J135" s="22" t="s">
        <v>4</v>
      </c>
      <c r="K135" s="22"/>
      <c r="L135" s="3" t="s">
        <v>130</v>
      </c>
      <c r="M135" s="3" t="s">
        <v>179</v>
      </c>
      <c r="N135" s="9" t="s">
        <v>397</v>
      </c>
      <c r="O135" s="10" t="s">
        <v>398</v>
      </c>
      <c r="P135" s="4">
        <f t="shared" si="17"/>
        <v>55</v>
      </c>
      <c r="Q135" s="4" t="str">
        <f t="shared" si="19"/>
        <v>46-55</v>
      </c>
      <c r="R135" s="11">
        <v>1952</v>
      </c>
      <c r="S135" s="4">
        <v>6</v>
      </c>
      <c r="T135" s="4">
        <v>18</v>
      </c>
      <c r="U135" s="3" t="s">
        <v>177</v>
      </c>
      <c r="V135" s="3" t="s">
        <v>5</v>
      </c>
      <c r="W135" s="3" t="s">
        <v>13</v>
      </c>
      <c r="X135" s="3" t="s">
        <v>33</v>
      </c>
      <c r="Y135" s="4">
        <v>3</v>
      </c>
      <c r="Z135" s="3" t="s">
        <v>35</v>
      </c>
      <c r="AA135" s="3" t="s">
        <v>525</v>
      </c>
    </row>
    <row r="136" spans="2:27" ht="14.25" customHeight="1" x14ac:dyDescent="0.3">
      <c r="B136" s="34">
        <f t="shared" si="18"/>
        <v>5021</v>
      </c>
      <c r="C136" s="4">
        <v>5</v>
      </c>
      <c r="D136" s="4">
        <v>2008</v>
      </c>
      <c r="E136" s="4">
        <v>12</v>
      </c>
      <c r="F136" s="3" t="s">
        <v>1</v>
      </c>
      <c r="G136" s="5">
        <v>21</v>
      </c>
      <c r="H136" s="7">
        <v>798.28440000000001</v>
      </c>
      <c r="I136" s="22">
        <v>234750.58600000001</v>
      </c>
      <c r="J136" s="22" t="s">
        <v>4</v>
      </c>
      <c r="K136" s="22"/>
      <c r="L136" s="3" t="s">
        <v>507</v>
      </c>
      <c r="M136" s="3" t="s">
        <v>179</v>
      </c>
      <c r="N136" s="9" t="s">
        <v>454</v>
      </c>
      <c r="O136" s="10" t="s">
        <v>455</v>
      </c>
      <c r="P136" s="4">
        <f t="shared" si="17"/>
        <v>55</v>
      </c>
      <c r="Q136" s="4" t="str">
        <f t="shared" si="19"/>
        <v>46-55</v>
      </c>
      <c r="R136" s="11">
        <v>1953</v>
      </c>
      <c r="S136" s="4">
        <v>2</v>
      </c>
      <c r="T136" s="4">
        <v>3</v>
      </c>
      <c r="U136" s="3" t="s">
        <v>175</v>
      </c>
      <c r="V136" s="3" t="s">
        <v>5</v>
      </c>
      <c r="W136" s="3" t="s">
        <v>14</v>
      </c>
      <c r="X136" s="3" t="s">
        <v>34</v>
      </c>
      <c r="Y136" s="4">
        <v>2</v>
      </c>
      <c r="Z136" s="3" t="s">
        <v>35</v>
      </c>
      <c r="AA136" s="3" t="s">
        <v>525</v>
      </c>
    </row>
    <row r="137" spans="2:27" ht="14.25" customHeight="1" x14ac:dyDescent="0.3">
      <c r="B137" s="34">
        <f t="shared" si="18"/>
        <v>5022</v>
      </c>
      <c r="C137" s="4">
        <v>5</v>
      </c>
      <c r="D137" s="4">
        <v>2008</v>
      </c>
      <c r="E137" s="4">
        <v>12</v>
      </c>
      <c r="F137" s="3" t="s">
        <v>1</v>
      </c>
      <c r="G137" s="5">
        <v>22</v>
      </c>
      <c r="H137" s="7">
        <v>798.28440000000001</v>
      </c>
      <c r="I137" s="22">
        <v>287466.41159999999</v>
      </c>
      <c r="J137" s="22" t="s">
        <v>4</v>
      </c>
      <c r="K137" s="22"/>
      <c r="L137" s="3" t="s">
        <v>507</v>
      </c>
      <c r="M137" s="3" t="s">
        <v>179</v>
      </c>
      <c r="N137" s="9" t="s">
        <v>454</v>
      </c>
      <c r="O137" s="10" t="s">
        <v>455</v>
      </c>
      <c r="P137" s="4">
        <f t="shared" si="17"/>
        <v>55</v>
      </c>
      <c r="Q137" s="4" t="str">
        <f t="shared" si="19"/>
        <v>46-55</v>
      </c>
      <c r="R137" s="11">
        <v>1953</v>
      </c>
      <c r="S137" s="4">
        <v>2</v>
      </c>
      <c r="T137" s="4">
        <v>3</v>
      </c>
      <c r="U137" s="3" t="s">
        <v>175</v>
      </c>
      <c r="V137" s="3" t="s">
        <v>5</v>
      </c>
      <c r="W137" s="3" t="s">
        <v>14</v>
      </c>
      <c r="X137" s="3" t="s">
        <v>34</v>
      </c>
      <c r="Y137" s="4">
        <v>2</v>
      </c>
      <c r="Z137" s="3" t="s">
        <v>35</v>
      </c>
      <c r="AA137" s="3" t="s">
        <v>525</v>
      </c>
    </row>
    <row r="138" spans="2:27" ht="14.25" customHeight="1" x14ac:dyDescent="0.3">
      <c r="B138" s="34">
        <f t="shared" si="18"/>
        <v>1044</v>
      </c>
      <c r="C138" s="4">
        <v>1</v>
      </c>
      <c r="D138" s="4">
        <v>2004</v>
      </c>
      <c r="E138" s="4">
        <v>6</v>
      </c>
      <c r="F138" s="3" t="s">
        <v>1</v>
      </c>
      <c r="G138" s="5">
        <v>44</v>
      </c>
      <c r="H138" s="7">
        <v>827.87439999999992</v>
      </c>
      <c r="I138" s="22">
        <v>229464.71119999999</v>
      </c>
      <c r="J138" s="22" t="s">
        <v>4</v>
      </c>
      <c r="K138" s="22"/>
      <c r="L138" s="3" t="s">
        <v>30</v>
      </c>
      <c r="M138" s="3" t="s">
        <v>179</v>
      </c>
      <c r="N138" s="9" t="s">
        <v>183</v>
      </c>
      <c r="O138" s="10" t="s">
        <v>184</v>
      </c>
      <c r="P138" s="4">
        <f t="shared" si="17"/>
        <v>56</v>
      </c>
      <c r="Q138" s="4" t="str">
        <f t="shared" si="19"/>
        <v>56-65</v>
      </c>
      <c r="R138" s="11">
        <v>1948</v>
      </c>
      <c r="S138" s="4">
        <v>4</v>
      </c>
      <c r="T138" s="4">
        <v>23</v>
      </c>
      <c r="U138" s="3" t="s">
        <v>177</v>
      </c>
      <c r="V138" s="3" t="s">
        <v>5</v>
      </c>
      <c r="W138" s="3" t="s">
        <v>13</v>
      </c>
      <c r="X138" s="3" t="s">
        <v>33</v>
      </c>
      <c r="Y138" s="4">
        <v>5</v>
      </c>
      <c r="Z138" s="3" t="s">
        <v>35</v>
      </c>
      <c r="AA138" s="3" t="s">
        <v>525</v>
      </c>
    </row>
    <row r="139" spans="2:27" ht="14.25" customHeight="1" x14ac:dyDescent="0.3">
      <c r="B139" s="34">
        <f t="shared" si="18"/>
        <v>1043</v>
      </c>
      <c r="C139" s="4">
        <v>1</v>
      </c>
      <c r="D139" s="4">
        <v>2004</v>
      </c>
      <c r="E139" s="4">
        <v>6</v>
      </c>
      <c r="F139" s="3" t="s">
        <v>1</v>
      </c>
      <c r="G139" s="5">
        <v>43</v>
      </c>
      <c r="H139" s="7">
        <v>1160.3584000000001</v>
      </c>
      <c r="I139" s="22">
        <v>377313.5552</v>
      </c>
      <c r="J139" s="22" t="s">
        <v>4</v>
      </c>
      <c r="K139" s="22"/>
      <c r="L139" s="3" t="s">
        <v>31</v>
      </c>
      <c r="M139" s="3" t="s">
        <v>179</v>
      </c>
      <c r="N139" s="9" t="s">
        <v>200</v>
      </c>
      <c r="O139" s="10" t="s">
        <v>201</v>
      </c>
      <c r="P139" s="4">
        <f t="shared" si="17"/>
        <v>56</v>
      </c>
      <c r="Q139" s="4" t="str">
        <f t="shared" si="19"/>
        <v>56-65</v>
      </c>
      <c r="R139" s="11">
        <v>1948</v>
      </c>
      <c r="S139" s="4">
        <v>4</v>
      </c>
      <c r="T139" s="4">
        <v>23</v>
      </c>
      <c r="U139" s="3" t="s">
        <v>177</v>
      </c>
      <c r="V139" s="3" t="s">
        <v>5</v>
      </c>
      <c r="W139" s="3" t="s">
        <v>13</v>
      </c>
      <c r="X139" s="3" t="s">
        <v>33</v>
      </c>
      <c r="Y139" s="4">
        <v>5</v>
      </c>
      <c r="Z139" s="3" t="s">
        <v>35</v>
      </c>
      <c r="AA139" s="3" t="s">
        <v>525</v>
      </c>
    </row>
    <row r="140" spans="2:27" ht="14.25" customHeight="1" x14ac:dyDescent="0.3">
      <c r="B140" s="34">
        <f t="shared" si="18"/>
        <v>1027</v>
      </c>
      <c r="C140" s="4">
        <v>1</v>
      </c>
      <c r="D140" s="4">
        <v>2005</v>
      </c>
      <c r="E140" s="4">
        <v>8</v>
      </c>
      <c r="F140" s="3" t="s">
        <v>1</v>
      </c>
      <c r="G140" s="5">
        <v>27</v>
      </c>
      <c r="H140" s="7">
        <v>827.87439999999992</v>
      </c>
      <c r="I140" s="22">
        <v>276759.18</v>
      </c>
      <c r="J140" s="22" t="s">
        <v>4</v>
      </c>
      <c r="K140" s="22"/>
      <c r="L140" s="3" t="s">
        <v>59</v>
      </c>
      <c r="M140" s="3" t="s">
        <v>179</v>
      </c>
      <c r="N140" s="9" t="s">
        <v>232</v>
      </c>
      <c r="O140" s="10" t="s">
        <v>233</v>
      </c>
      <c r="P140" s="4">
        <f t="shared" si="17"/>
        <v>56</v>
      </c>
      <c r="Q140" s="4" t="str">
        <f t="shared" si="19"/>
        <v>56-65</v>
      </c>
      <c r="R140" s="11">
        <v>1949</v>
      </c>
      <c r="S140" s="4">
        <v>11</v>
      </c>
      <c r="T140" s="4">
        <v>14</v>
      </c>
      <c r="U140" s="3" t="s">
        <v>175</v>
      </c>
      <c r="V140" s="3" t="s">
        <v>5</v>
      </c>
      <c r="W140" s="3" t="s">
        <v>13</v>
      </c>
      <c r="X140" s="3" t="s">
        <v>33</v>
      </c>
      <c r="Y140" s="4">
        <v>3</v>
      </c>
      <c r="Z140" s="3" t="s">
        <v>35</v>
      </c>
      <c r="AA140" s="3" t="s">
        <v>39</v>
      </c>
    </row>
    <row r="141" spans="2:27" ht="14.25" customHeight="1" x14ac:dyDescent="0.3">
      <c r="B141" s="34">
        <f t="shared" si="18"/>
        <v>2023</v>
      </c>
      <c r="C141" s="4">
        <v>2</v>
      </c>
      <c r="D141" s="4">
        <v>2005</v>
      </c>
      <c r="E141" s="4">
        <v>12</v>
      </c>
      <c r="F141" s="3" t="s">
        <v>1</v>
      </c>
      <c r="G141" s="5">
        <v>23</v>
      </c>
      <c r="H141" s="7">
        <v>723.8252</v>
      </c>
      <c r="I141" s="22">
        <v>219373.4056</v>
      </c>
      <c r="J141" s="22" t="s">
        <v>4</v>
      </c>
      <c r="K141" s="22"/>
      <c r="L141" s="3" t="s">
        <v>64</v>
      </c>
      <c r="M141" s="3" t="s">
        <v>179</v>
      </c>
      <c r="N141" s="9" t="s">
        <v>230</v>
      </c>
      <c r="O141" s="10" t="s">
        <v>231</v>
      </c>
      <c r="P141" s="4">
        <f t="shared" si="17"/>
        <v>56</v>
      </c>
      <c r="Q141" s="4" t="str">
        <f t="shared" si="19"/>
        <v>56-65</v>
      </c>
      <c r="R141" s="11">
        <v>1949</v>
      </c>
      <c r="S141" s="4">
        <v>1</v>
      </c>
      <c r="T141" s="4">
        <v>16</v>
      </c>
      <c r="U141" s="3" t="s">
        <v>177</v>
      </c>
      <c r="V141" s="3" t="s">
        <v>5</v>
      </c>
      <c r="W141" s="3" t="s">
        <v>13</v>
      </c>
      <c r="X141" s="3" t="s">
        <v>34</v>
      </c>
      <c r="Y141" s="4">
        <v>3</v>
      </c>
      <c r="Z141" s="3" t="s">
        <v>35</v>
      </c>
      <c r="AA141" s="3" t="s">
        <v>525</v>
      </c>
    </row>
    <row r="142" spans="2:27" ht="14.25" customHeight="1" x14ac:dyDescent="0.3">
      <c r="B142" s="34">
        <f t="shared" si="18"/>
        <v>5046</v>
      </c>
      <c r="C142" s="4">
        <v>5</v>
      </c>
      <c r="D142" s="4">
        <v>2007</v>
      </c>
      <c r="E142" s="4">
        <v>11</v>
      </c>
      <c r="F142" s="3" t="s">
        <v>1</v>
      </c>
      <c r="G142" s="5">
        <v>46</v>
      </c>
      <c r="H142" s="7">
        <v>798.28440000000001</v>
      </c>
      <c r="I142" s="22">
        <v>230216.21919999999</v>
      </c>
      <c r="J142" s="22" t="s">
        <v>4</v>
      </c>
      <c r="K142" s="22"/>
      <c r="L142" s="3" t="s">
        <v>155</v>
      </c>
      <c r="M142" s="3" t="s">
        <v>179</v>
      </c>
      <c r="N142" s="9" t="s">
        <v>458</v>
      </c>
      <c r="O142" s="10" t="s">
        <v>459</v>
      </c>
      <c r="P142" s="4">
        <f t="shared" si="17"/>
        <v>56</v>
      </c>
      <c r="Q142" s="4" t="str">
        <f t="shared" si="19"/>
        <v>56-65</v>
      </c>
      <c r="R142" s="11">
        <v>1951</v>
      </c>
      <c r="S142" s="4">
        <v>11</v>
      </c>
      <c r="T142" s="4">
        <v>10</v>
      </c>
      <c r="U142" s="3" t="s">
        <v>175</v>
      </c>
      <c r="V142" s="3" t="s">
        <v>5</v>
      </c>
      <c r="W142" s="3" t="s">
        <v>13</v>
      </c>
      <c r="X142" s="3" t="s">
        <v>33</v>
      </c>
      <c r="Y142" s="4">
        <v>5</v>
      </c>
      <c r="Z142" s="3" t="s">
        <v>35</v>
      </c>
      <c r="AA142" s="3" t="s">
        <v>525</v>
      </c>
    </row>
    <row r="143" spans="2:27" ht="14.25" customHeight="1" x14ac:dyDescent="0.3">
      <c r="B143" s="34">
        <f t="shared" si="18"/>
        <v>1002</v>
      </c>
      <c r="C143" s="4">
        <v>1</v>
      </c>
      <c r="D143" s="4">
        <v>2004</v>
      </c>
      <c r="E143" s="4">
        <v>3</v>
      </c>
      <c r="F143" s="3" t="s">
        <v>0</v>
      </c>
      <c r="G143" s="5">
        <v>2</v>
      </c>
      <c r="H143" s="7">
        <v>1238.5835999999999</v>
      </c>
      <c r="I143" s="22">
        <v>410932.67319999996</v>
      </c>
      <c r="J143" s="22" t="s">
        <v>4</v>
      </c>
      <c r="K143" s="22"/>
      <c r="L143" s="3" t="s">
        <v>29</v>
      </c>
      <c r="M143" s="3" t="s">
        <v>179</v>
      </c>
      <c r="N143" s="11" t="s">
        <v>436</v>
      </c>
      <c r="O143" s="11" t="s">
        <v>316</v>
      </c>
      <c r="P143" s="4">
        <f t="shared" ref="P143:P151" si="20">IF((D143-R143)=0," ",D143-R143)</f>
        <v>57</v>
      </c>
      <c r="Q143" s="4" t="str">
        <f t="shared" si="19"/>
        <v>56-65</v>
      </c>
      <c r="R143" s="11">
        <v>1947</v>
      </c>
      <c r="S143" s="4">
        <v>2</v>
      </c>
      <c r="T143" s="4">
        <v>13</v>
      </c>
      <c r="U143" s="3" t="s">
        <v>175</v>
      </c>
      <c r="V143" s="3" t="s">
        <v>5</v>
      </c>
      <c r="W143" s="3" t="s">
        <v>13</v>
      </c>
      <c r="X143" s="3" t="s">
        <v>34</v>
      </c>
      <c r="Y143" s="4">
        <v>5</v>
      </c>
      <c r="Z143" s="3" t="s">
        <v>36</v>
      </c>
      <c r="AA143" s="3" t="s">
        <v>525</v>
      </c>
    </row>
    <row r="144" spans="2:27" ht="14.25" customHeight="1" x14ac:dyDescent="0.3">
      <c r="B144" s="34">
        <f t="shared" si="18"/>
        <v>2030</v>
      </c>
      <c r="C144" s="4">
        <v>2</v>
      </c>
      <c r="D144" s="4">
        <v>2005</v>
      </c>
      <c r="E144" s="4">
        <v>12</v>
      </c>
      <c r="F144" s="3" t="s">
        <v>1</v>
      </c>
      <c r="G144" s="5">
        <v>30</v>
      </c>
      <c r="H144" s="7">
        <v>723.8252</v>
      </c>
      <c r="I144" s="22">
        <v>214341.3364</v>
      </c>
      <c r="J144" s="22" t="s">
        <v>4</v>
      </c>
      <c r="K144" s="22"/>
      <c r="L144" s="3" t="s">
        <v>65</v>
      </c>
      <c r="M144" s="3" t="s">
        <v>179</v>
      </c>
      <c r="N144" s="11" t="s">
        <v>210</v>
      </c>
      <c r="O144" s="11" t="s">
        <v>211</v>
      </c>
      <c r="P144" s="4">
        <f t="shared" si="20"/>
        <v>57</v>
      </c>
      <c r="Q144" s="4" t="str">
        <f t="shared" si="19"/>
        <v>56-65</v>
      </c>
      <c r="R144" s="11">
        <v>1948</v>
      </c>
      <c r="S144" s="4">
        <v>2</v>
      </c>
      <c r="T144" s="4">
        <v>20</v>
      </c>
      <c r="U144" s="3" t="s">
        <v>175</v>
      </c>
      <c r="V144" s="3" t="s">
        <v>5</v>
      </c>
      <c r="W144" s="3" t="s">
        <v>17</v>
      </c>
      <c r="X144" s="3" t="s">
        <v>33</v>
      </c>
      <c r="Y144" s="4">
        <v>4</v>
      </c>
      <c r="Z144" s="3" t="s">
        <v>35</v>
      </c>
      <c r="AA144" s="3" t="s">
        <v>182</v>
      </c>
    </row>
    <row r="145" spans="2:27" ht="14.25" customHeight="1" x14ac:dyDescent="0.3">
      <c r="B145" s="34">
        <f t="shared" si="18"/>
        <v>3050</v>
      </c>
      <c r="C145" s="4">
        <v>3</v>
      </c>
      <c r="D145" s="4">
        <v>2006</v>
      </c>
      <c r="E145" s="12">
        <v>11</v>
      </c>
      <c r="F145" s="3" t="s">
        <v>1</v>
      </c>
      <c r="G145" s="4">
        <v>50</v>
      </c>
      <c r="H145" s="7">
        <v>977.86879999999996</v>
      </c>
      <c r="I145" s="22">
        <v>248274.31359999999</v>
      </c>
      <c r="J145" s="22" t="s">
        <v>4</v>
      </c>
      <c r="K145" s="22"/>
      <c r="L145" s="3" t="s">
        <v>89</v>
      </c>
      <c r="M145" s="3" t="s">
        <v>179</v>
      </c>
      <c r="N145" s="11" t="s">
        <v>482</v>
      </c>
      <c r="O145" s="11" t="s">
        <v>483</v>
      </c>
      <c r="P145" s="4">
        <f t="shared" si="20"/>
        <v>57</v>
      </c>
      <c r="Q145" s="4" t="str">
        <f t="shared" si="19"/>
        <v>56-65</v>
      </c>
      <c r="R145" s="11">
        <v>1949</v>
      </c>
      <c r="S145" s="4">
        <v>6</v>
      </c>
      <c r="T145" s="4">
        <v>22</v>
      </c>
      <c r="U145" s="3" t="s">
        <v>177</v>
      </c>
      <c r="V145" s="3" t="s">
        <v>6</v>
      </c>
      <c r="W145" s="3"/>
      <c r="X145" s="3" t="s">
        <v>33</v>
      </c>
      <c r="Y145" s="4">
        <v>3</v>
      </c>
      <c r="Z145" s="3" t="s">
        <v>36</v>
      </c>
      <c r="AA145" s="3" t="s">
        <v>39</v>
      </c>
    </row>
    <row r="146" spans="2:27" ht="14.25" customHeight="1" x14ac:dyDescent="0.3">
      <c r="B146" s="34">
        <f t="shared" si="18"/>
        <v>5050</v>
      </c>
      <c r="C146" s="4">
        <v>5</v>
      </c>
      <c r="D146" s="4">
        <v>2007</v>
      </c>
      <c r="E146" s="4">
        <v>11</v>
      </c>
      <c r="F146" s="3" t="s">
        <v>1</v>
      </c>
      <c r="G146" s="5">
        <v>50</v>
      </c>
      <c r="H146" s="7">
        <v>1093.0008</v>
      </c>
      <c r="I146" s="22">
        <v>390494.27120000002</v>
      </c>
      <c r="J146" s="22" t="s">
        <v>4</v>
      </c>
      <c r="K146" s="22"/>
      <c r="L146" s="3" t="s">
        <v>511</v>
      </c>
      <c r="M146" s="3" t="s">
        <v>179</v>
      </c>
      <c r="N146" s="9" t="s">
        <v>444</v>
      </c>
      <c r="O146" s="10" t="s">
        <v>445</v>
      </c>
      <c r="P146" s="4">
        <f t="shared" si="20"/>
        <v>57</v>
      </c>
      <c r="Q146" s="4" t="str">
        <f t="shared" si="19"/>
        <v>56-65</v>
      </c>
      <c r="R146" s="11">
        <v>1950</v>
      </c>
      <c r="S146" s="4">
        <v>15</v>
      </c>
      <c r="T146" s="4">
        <v>2</v>
      </c>
      <c r="U146" s="3" t="s">
        <v>177</v>
      </c>
      <c r="V146" s="3" t="s">
        <v>5</v>
      </c>
      <c r="W146" s="3" t="s">
        <v>14</v>
      </c>
      <c r="X146" s="3" t="s">
        <v>33</v>
      </c>
      <c r="Y146" s="4">
        <v>3</v>
      </c>
      <c r="Z146" s="3" t="s">
        <v>35</v>
      </c>
      <c r="AA146" s="3" t="s">
        <v>525</v>
      </c>
    </row>
    <row r="147" spans="2:27" ht="14.25" customHeight="1" x14ac:dyDescent="0.3">
      <c r="B147" s="34">
        <f t="shared" si="18"/>
        <v>2039</v>
      </c>
      <c r="C147" s="4">
        <v>2</v>
      </c>
      <c r="D147" s="4">
        <v>2006</v>
      </c>
      <c r="E147" s="4">
        <v>8</v>
      </c>
      <c r="F147" s="3" t="s">
        <v>1</v>
      </c>
      <c r="G147" s="5">
        <v>39</v>
      </c>
      <c r="H147" s="7">
        <v>927.83479999999997</v>
      </c>
      <c r="I147" s="22">
        <v>293876.27480000001</v>
      </c>
      <c r="J147" s="22" t="s">
        <v>4</v>
      </c>
      <c r="K147" s="22"/>
      <c r="L147" s="3" t="s">
        <v>77</v>
      </c>
      <c r="M147" s="3" t="s">
        <v>179</v>
      </c>
      <c r="N147" s="9" t="s">
        <v>256</v>
      </c>
      <c r="O147" s="10" t="s">
        <v>257</v>
      </c>
      <c r="P147" s="4">
        <f t="shared" si="20"/>
        <v>59</v>
      </c>
      <c r="Q147" s="4" t="str">
        <f t="shared" si="19"/>
        <v>56-65</v>
      </c>
      <c r="R147" s="11">
        <v>1947</v>
      </c>
      <c r="S147" s="4">
        <v>4</v>
      </c>
      <c r="T147" s="4">
        <v>27</v>
      </c>
      <c r="U147" s="3" t="s">
        <v>177</v>
      </c>
      <c r="V147" s="3" t="s">
        <v>5</v>
      </c>
      <c r="W147" s="3" t="s">
        <v>15</v>
      </c>
      <c r="X147" s="3" t="s">
        <v>33</v>
      </c>
      <c r="Y147" s="4">
        <v>4</v>
      </c>
      <c r="Z147" s="3" t="s">
        <v>36</v>
      </c>
      <c r="AA147" s="3" t="s">
        <v>525</v>
      </c>
    </row>
    <row r="148" spans="2:27" ht="14.25" customHeight="1" x14ac:dyDescent="0.3">
      <c r="B148" s="34">
        <f t="shared" si="18"/>
        <v>2008</v>
      </c>
      <c r="C148" s="4">
        <v>2</v>
      </c>
      <c r="D148" s="4">
        <v>2007</v>
      </c>
      <c r="E148" s="4">
        <v>3</v>
      </c>
      <c r="F148" s="3" t="s">
        <v>1</v>
      </c>
      <c r="G148" s="5">
        <v>8</v>
      </c>
      <c r="H148" s="7">
        <v>701.65959999999995</v>
      </c>
      <c r="I148" s="22">
        <v>204286.66679999998</v>
      </c>
      <c r="J148" s="22" t="s">
        <v>4</v>
      </c>
      <c r="K148" s="22"/>
      <c r="L148" s="3" t="s">
        <v>108</v>
      </c>
      <c r="M148" s="3" t="s">
        <v>179</v>
      </c>
      <c r="N148" s="9" t="s">
        <v>364</v>
      </c>
      <c r="O148" s="10" t="s">
        <v>365</v>
      </c>
      <c r="P148" s="4">
        <f t="shared" si="20"/>
        <v>59</v>
      </c>
      <c r="Q148" s="4" t="str">
        <f t="shared" si="19"/>
        <v>56-65</v>
      </c>
      <c r="R148" s="11">
        <v>1948</v>
      </c>
      <c r="S148" s="4">
        <v>2</v>
      </c>
      <c r="T148" s="4">
        <v>23</v>
      </c>
      <c r="U148" s="3" t="s">
        <v>175</v>
      </c>
      <c r="V148" s="3" t="s">
        <v>5</v>
      </c>
      <c r="W148" s="3" t="s">
        <v>20</v>
      </c>
      <c r="X148" s="3" t="s">
        <v>33</v>
      </c>
      <c r="Y148" s="4">
        <v>3</v>
      </c>
      <c r="Z148" s="3" t="s">
        <v>35</v>
      </c>
      <c r="AA148" s="3" t="s">
        <v>39</v>
      </c>
    </row>
    <row r="149" spans="2:27" ht="14.25" customHeight="1" x14ac:dyDescent="0.3">
      <c r="B149" s="34">
        <f t="shared" si="18"/>
        <v>3019</v>
      </c>
      <c r="C149" s="4">
        <v>3</v>
      </c>
      <c r="D149" s="4">
        <v>2007</v>
      </c>
      <c r="E149" s="12">
        <v>9</v>
      </c>
      <c r="F149" s="3" t="s">
        <v>1</v>
      </c>
      <c r="G149" s="4">
        <v>19</v>
      </c>
      <c r="H149" s="7">
        <v>680.56999999999994</v>
      </c>
      <c r="I149" s="22">
        <v>230154.52999999997</v>
      </c>
      <c r="J149" s="22" t="s">
        <v>4</v>
      </c>
      <c r="K149" s="22"/>
      <c r="L149" s="3" t="s">
        <v>141</v>
      </c>
      <c r="M149" s="3" t="s">
        <v>179</v>
      </c>
      <c r="N149" s="9" t="s">
        <v>414</v>
      </c>
      <c r="O149" s="10" t="s">
        <v>415</v>
      </c>
      <c r="P149" s="4">
        <f t="shared" si="20"/>
        <v>59</v>
      </c>
      <c r="Q149" s="4" t="str">
        <f t="shared" si="19"/>
        <v>56-65</v>
      </c>
      <c r="R149" s="11">
        <v>1948</v>
      </c>
      <c r="S149" s="4">
        <v>11</v>
      </c>
      <c r="T149" s="4">
        <v>9</v>
      </c>
      <c r="U149" s="3" t="s">
        <v>177</v>
      </c>
      <c r="V149" s="3" t="s">
        <v>5</v>
      </c>
      <c r="W149" s="3" t="s">
        <v>18</v>
      </c>
      <c r="X149" s="3" t="s">
        <v>34</v>
      </c>
      <c r="Y149" s="4">
        <v>5</v>
      </c>
      <c r="Z149" s="3" t="s">
        <v>35</v>
      </c>
      <c r="AA149" s="3" t="s">
        <v>39</v>
      </c>
    </row>
    <row r="150" spans="2:27" ht="14.25" customHeight="1" x14ac:dyDescent="0.3">
      <c r="B150" s="34">
        <f t="shared" si="18"/>
        <v>2015</v>
      </c>
      <c r="C150" s="4">
        <v>2</v>
      </c>
      <c r="D150" s="4">
        <v>2006</v>
      </c>
      <c r="E150" s="4">
        <v>9</v>
      </c>
      <c r="F150" s="3" t="s">
        <v>1</v>
      </c>
      <c r="G150" s="5">
        <v>15</v>
      </c>
      <c r="H150" s="7">
        <v>723.93280000000004</v>
      </c>
      <c r="I150" s="22">
        <v>228170.02560000002</v>
      </c>
      <c r="J150" s="22" t="s">
        <v>4</v>
      </c>
      <c r="K150" s="22"/>
      <c r="L150" s="3" t="s">
        <v>82</v>
      </c>
      <c r="M150" s="3" t="s">
        <v>179</v>
      </c>
      <c r="N150" s="9" t="s">
        <v>298</v>
      </c>
      <c r="O150" s="10" t="s">
        <v>299</v>
      </c>
      <c r="P150" s="4">
        <f t="shared" si="20"/>
        <v>48</v>
      </c>
      <c r="Q150" s="4" t="str">
        <f t="shared" si="19"/>
        <v>46-55</v>
      </c>
      <c r="R150" s="11">
        <v>1958</v>
      </c>
      <c r="S150" s="4">
        <v>12</v>
      </c>
      <c r="T150" s="4">
        <v>20</v>
      </c>
      <c r="U150" s="3" t="s">
        <v>175</v>
      </c>
      <c r="V150" s="3" t="s">
        <v>5</v>
      </c>
      <c r="W150" s="3" t="s">
        <v>13</v>
      </c>
      <c r="X150" s="3" t="s">
        <v>33</v>
      </c>
      <c r="Y150" s="4">
        <v>4</v>
      </c>
      <c r="Z150" s="3" t="s">
        <v>35</v>
      </c>
      <c r="AA150" s="3" t="s">
        <v>39</v>
      </c>
    </row>
    <row r="151" spans="2:27" ht="14.25" customHeight="1" x14ac:dyDescent="0.3">
      <c r="B151" s="34">
        <f t="shared" si="18"/>
        <v>2033</v>
      </c>
      <c r="C151" s="4">
        <v>2</v>
      </c>
      <c r="D151" s="4">
        <v>2006</v>
      </c>
      <c r="E151" s="4">
        <v>9</v>
      </c>
      <c r="F151" s="3" t="s">
        <v>1</v>
      </c>
      <c r="G151" s="5">
        <v>33</v>
      </c>
      <c r="H151" s="7">
        <v>649.79639999999995</v>
      </c>
      <c r="I151" s="22">
        <v>205085.40479999999</v>
      </c>
      <c r="J151" s="22" t="s">
        <v>4</v>
      </c>
      <c r="K151" s="22"/>
      <c r="L151" s="3" t="s">
        <v>82</v>
      </c>
      <c r="M151" s="3" t="s">
        <v>179</v>
      </c>
      <c r="N151" s="9" t="s">
        <v>298</v>
      </c>
      <c r="O151" s="10" t="s">
        <v>299</v>
      </c>
      <c r="P151" s="4">
        <f t="shared" si="20"/>
        <v>48</v>
      </c>
      <c r="Q151" s="4" t="str">
        <f t="shared" si="19"/>
        <v>46-55</v>
      </c>
      <c r="R151" s="11">
        <v>1958</v>
      </c>
      <c r="S151" s="4">
        <v>12</v>
      </c>
      <c r="T151" s="4">
        <v>20</v>
      </c>
      <c r="U151" s="3" t="s">
        <v>175</v>
      </c>
      <c r="V151" s="3" t="s">
        <v>5</v>
      </c>
      <c r="W151" s="3" t="s">
        <v>13</v>
      </c>
      <c r="X151" s="3" t="s">
        <v>33</v>
      </c>
      <c r="Y151" s="4">
        <v>3</v>
      </c>
      <c r="Z151" s="3" t="s">
        <v>35</v>
      </c>
      <c r="AA151" s="3" t="s">
        <v>39</v>
      </c>
    </row>
    <row r="152" spans="2:27" ht="14.25" customHeight="1" x14ac:dyDescent="0.3">
      <c r="B152" s="34">
        <f t="shared" si="18"/>
        <v>2019</v>
      </c>
      <c r="C152" s="4">
        <v>2</v>
      </c>
      <c r="D152" s="4">
        <v>2007</v>
      </c>
      <c r="E152" s="4">
        <v>3</v>
      </c>
      <c r="F152" s="3" t="s">
        <v>1</v>
      </c>
      <c r="G152" s="5">
        <v>19</v>
      </c>
      <c r="H152" s="7">
        <v>649.79639999999995</v>
      </c>
      <c r="I152" s="22">
        <v>177555.06399999998</v>
      </c>
      <c r="J152" s="22" t="s">
        <v>4</v>
      </c>
      <c r="K152" s="22"/>
      <c r="L152" s="3" t="s">
        <v>109</v>
      </c>
      <c r="M152" s="3" t="s">
        <v>179</v>
      </c>
      <c r="N152" s="9" t="s">
        <v>362</v>
      </c>
      <c r="O152" s="10" t="s">
        <v>363</v>
      </c>
      <c r="P152" s="4">
        <f t="shared" ref="P152:P161" si="21">IF((D152-R152)=0," ",D152-R152)</f>
        <v>60</v>
      </c>
      <c r="Q152" s="4" t="str">
        <f t="shared" si="19"/>
        <v>56-65</v>
      </c>
      <c r="R152" s="11">
        <v>1947</v>
      </c>
      <c r="S152" s="4">
        <v>5</v>
      </c>
      <c r="T152" s="4">
        <v>24</v>
      </c>
      <c r="U152" s="3" t="s">
        <v>175</v>
      </c>
      <c r="V152" s="3" t="s">
        <v>490</v>
      </c>
      <c r="W152" s="3"/>
      <c r="X152" s="3" t="s">
        <v>34</v>
      </c>
      <c r="Y152" s="4">
        <v>5</v>
      </c>
      <c r="Z152" s="3" t="s">
        <v>35</v>
      </c>
      <c r="AA152" s="3" t="s">
        <v>525</v>
      </c>
    </row>
    <row r="153" spans="2:27" ht="14.25" customHeight="1" x14ac:dyDescent="0.3">
      <c r="B153" s="34">
        <f t="shared" si="18"/>
        <v>2021</v>
      </c>
      <c r="C153" s="4">
        <v>2</v>
      </c>
      <c r="D153" s="4">
        <v>2007</v>
      </c>
      <c r="E153" s="4">
        <v>4</v>
      </c>
      <c r="F153" s="3" t="s">
        <v>1</v>
      </c>
      <c r="G153" s="5">
        <v>21</v>
      </c>
      <c r="H153" s="7">
        <v>785.48</v>
      </c>
      <c r="I153" s="22">
        <v>217748.48000000001</v>
      </c>
      <c r="J153" s="22" t="s">
        <v>4</v>
      </c>
      <c r="K153" s="22"/>
      <c r="L153" s="3" t="s">
        <v>109</v>
      </c>
      <c r="M153" s="3" t="s">
        <v>179</v>
      </c>
      <c r="N153" s="9" t="s">
        <v>362</v>
      </c>
      <c r="O153" s="10" t="s">
        <v>363</v>
      </c>
      <c r="P153" s="4">
        <f t="shared" si="21"/>
        <v>60</v>
      </c>
      <c r="Q153" s="4" t="str">
        <f t="shared" si="19"/>
        <v>56-65</v>
      </c>
      <c r="R153" s="11">
        <v>1947</v>
      </c>
      <c r="S153" s="4">
        <v>5</v>
      </c>
      <c r="T153" s="4">
        <v>24</v>
      </c>
      <c r="U153" s="3" t="s">
        <v>175</v>
      </c>
      <c r="V153" s="3" t="s">
        <v>490</v>
      </c>
      <c r="W153" s="3"/>
      <c r="X153" s="3" t="s">
        <v>34</v>
      </c>
      <c r="Y153" s="4">
        <v>5</v>
      </c>
      <c r="Z153" s="3" t="s">
        <v>35</v>
      </c>
      <c r="AA153" s="3" t="s">
        <v>525</v>
      </c>
    </row>
    <row r="154" spans="2:27" ht="14.25" customHeight="1" x14ac:dyDescent="0.3">
      <c r="B154" s="34">
        <f t="shared" si="18"/>
        <v>2027</v>
      </c>
      <c r="C154" s="4">
        <v>2</v>
      </c>
      <c r="D154" s="4">
        <v>2007</v>
      </c>
      <c r="E154" s="4">
        <v>4</v>
      </c>
      <c r="F154" s="3" t="s">
        <v>1</v>
      </c>
      <c r="G154" s="5">
        <v>27</v>
      </c>
      <c r="H154" s="7">
        <v>785.48</v>
      </c>
      <c r="I154" s="22">
        <v>247739.44</v>
      </c>
      <c r="J154" s="22" t="s">
        <v>4</v>
      </c>
      <c r="K154" s="22"/>
      <c r="L154" s="3" t="s">
        <v>109</v>
      </c>
      <c r="M154" s="3" t="s">
        <v>179</v>
      </c>
      <c r="N154" s="9" t="s">
        <v>362</v>
      </c>
      <c r="O154" s="10" t="s">
        <v>363</v>
      </c>
      <c r="P154" s="4">
        <f t="shared" si="21"/>
        <v>60</v>
      </c>
      <c r="Q154" s="4" t="str">
        <f t="shared" si="19"/>
        <v>56-65</v>
      </c>
      <c r="R154" s="11">
        <v>1947</v>
      </c>
      <c r="S154" s="4">
        <v>5</v>
      </c>
      <c r="T154" s="4">
        <v>24</v>
      </c>
      <c r="U154" s="3" t="s">
        <v>175</v>
      </c>
      <c r="V154" s="3" t="s">
        <v>490</v>
      </c>
      <c r="W154" s="3"/>
      <c r="X154" s="3" t="s">
        <v>34</v>
      </c>
      <c r="Y154" s="4">
        <v>5</v>
      </c>
      <c r="Z154" s="3" t="s">
        <v>35</v>
      </c>
      <c r="AA154" s="3" t="s">
        <v>525</v>
      </c>
    </row>
    <row r="155" spans="2:27" ht="14.25" customHeight="1" x14ac:dyDescent="0.3">
      <c r="B155" s="34">
        <f t="shared" si="18"/>
        <v>2052</v>
      </c>
      <c r="C155" s="4">
        <v>2</v>
      </c>
      <c r="D155" s="4">
        <v>2007</v>
      </c>
      <c r="E155" s="4">
        <v>3</v>
      </c>
      <c r="F155" s="3" t="s">
        <v>1</v>
      </c>
      <c r="G155" s="5">
        <v>52</v>
      </c>
      <c r="H155" s="7">
        <v>1615.2912000000001</v>
      </c>
      <c r="I155" s="22">
        <v>484458.03040000005</v>
      </c>
      <c r="J155" s="22" t="s">
        <v>4</v>
      </c>
      <c r="K155" s="22"/>
      <c r="L155" s="3" t="s">
        <v>109</v>
      </c>
      <c r="M155" s="3" t="s">
        <v>179</v>
      </c>
      <c r="N155" s="9" t="s">
        <v>362</v>
      </c>
      <c r="O155" s="10" t="s">
        <v>363</v>
      </c>
      <c r="P155" s="4">
        <f t="shared" si="21"/>
        <v>60</v>
      </c>
      <c r="Q155" s="4" t="str">
        <f t="shared" si="19"/>
        <v>56-65</v>
      </c>
      <c r="R155" s="11">
        <v>1947</v>
      </c>
      <c r="S155" s="4">
        <v>5</v>
      </c>
      <c r="T155" s="4">
        <v>24</v>
      </c>
      <c r="U155" s="3" t="s">
        <v>175</v>
      </c>
      <c r="V155" s="3" t="s">
        <v>490</v>
      </c>
      <c r="W155" s="13"/>
      <c r="X155" s="3" t="s">
        <v>34</v>
      </c>
      <c r="Y155" s="4">
        <v>5</v>
      </c>
      <c r="Z155" s="3" t="s">
        <v>35</v>
      </c>
      <c r="AA155" s="13" t="s">
        <v>525</v>
      </c>
    </row>
    <row r="156" spans="2:27" ht="14.25" customHeight="1" x14ac:dyDescent="0.3">
      <c r="B156" s="34">
        <f t="shared" si="18"/>
        <v>3006</v>
      </c>
      <c r="C156" s="4">
        <v>3</v>
      </c>
      <c r="D156" s="14">
        <v>2007</v>
      </c>
      <c r="E156" s="14">
        <v>2</v>
      </c>
      <c r="F156" s="3" t="s">
        <v>1</v>
      </c>
      <c r="G156" s="4">
        <v>6</v>
      </c>
      <c r="H156" s="7">
        <v>1132.0595999999998</v>
      </c>
      <c r="I156" s="22">
        <v>356506.36999999994</v>
      </c>
      <c r="J156" s="22" t="s">
        <v>4</v>
      </c>
      <c r="K156" s="22"/>
      <c r="L156" s="3" t="s">
        <v>109</v>
      </c>
      <c r="M156" s="3" t="s">
        <v>179</v>
      </c>
      <c r="N156" s="9" t="s">
        <v>362</v>
      </c>
      <c r="O156" s="10" t="s">
        <v>363</v>
      </c>
      <c r="P156" s="4">
        <f t="shared" si="21"/>
        <v>60</v>
      </c>
      <c r="Q156" s="4" t="str">
        <f t="shared" si="19"/>
        <v>56-65</v>
      </c>
      <c r="R156" s="11">
        <v>1947</v>
      </c>
      <c r="S156" s="4">
        <v>5</v>
      </c>
      <c r="T156" s="4">
        <v>24</v>
      </c>
      <c r="U156" s="3" t="s">
        <v>175</v>
      </c>
      <c r="V156" s="3" t="s">
        <v>490</v>
      </c>
      <c r="W156" s="3"/>
      <c r="X156" s="3" t="s">
        <v>34</v>
      </c>
      <c r="Y156" s="4">
        <v>5</v>
      </c>
      <c r="Z156" s="3" t="s">
        <v>35</v>
      </c>
      <c r="AA156" s="3" t="s">
        <v>525</v>
      </c>
    </row>
    <row r="157" spans="2:27" ht="14.25" customHeight="1" x14ac:dyDescent="0.3">
      <c r="B157" s="34">
        <f t="shared" si="18"/>
        <v>3044</v>
      </c>
      <c r="C157" s="4">
        <v>3</v>
      </c>
      <c r="D157" s="4">
        <v>2007</v>
      </c>
      <c r="E157" s="12">
        <v>3</v>
      </c>
      <c r="F157" s="3" t="s">
        <v>1</v>
      </c>
      <c r="G157" s="4">
        <v>44</v>
      </c>
      <c r="H157" s="7">
        <v>720.38200000000006</v>
      </c>
      <c r="I157" s="22">
        <v>197869.36400000003</v>
      </c>
      <c r="J157" s="22" t="s">
        <v>4</v>
      </c>
      <c r="K157" s="22"/>
      <c r="L157" s="3" t="s">
        <v>109</v>
      </c>
      <c r="M157" s="3" t="s">
        <v>179</v>
      </c>
      <c r="N157" s="9" t="s">
        <v>362</v>
      </c>
      <c r="O157" s="10" t="s">
        <v>363</v>
      </c>
      <c r="P157" s="4">
        <f t="shared" si="21"/>
        <v>60</v>
      </c>
      <c r="Q157" s="4" t="str">
        <f t="shared" si="19"/>
        <v>56-65</v>
      </c>
      <c r="R157" s="11">
        <v>1947</v>
      </c>
      <c r="S157" s="4">
        <v>5</v>
      </c>
      <c r="T157" s="4">
        <v>24</v>
      </c>
      <c r="U157" s="3" t="s">
        <v>175</v>
      </c>
      <c r="V157" s="3" t="s">
        <v>490</v>
      </c>
      <c r="W157" s="13"/>
      <c r="X157" s="3" t="s">
        <v>34</v>
      </c>
      <c r="Y157" s="4">
        <v>5</v>
      </c>
      <c r="Z157" s="3" t="s">
        <v>35</v>
      </c>
      <c r="AA157" s="13" t="s">
        <v>525</v>
      </c>
    </row>
    <row r="158" spans="2:27" ht="14.25" customHeight="1" x14ac:dyDescent="0.3">
      <c r="B158" s="34">
        <f t="shared" si="18"/>
        <v>4025</v>
      </c>
      <c r="C158" s="4">
        <v>4</v>
      </c>
      <c r="D158" s="4">
        <v>2007</v>
      </c>
      <c r="E158" s="4">
        <v>12</v>
      </c>
      <c r="F158" s="3" t="s">
        <v>1</v>
      </c>
      <c r="G158" s="5">
        <v>25</v>
      </c>
      <c r="H158" s="7">
        <v>733.18639999999994</v>
      </c>
      <c r="I158" s="22">
        <v>236608.95279999997</v>
      </c>
      <c r="J158" s="22" t="s">
        <v>4</v>
      </c>
      <c r="K158" s="22"/>
      <c r="L158" s="3" t="s">
        <v>109</v>
      </c>
      <c r="M158" s="3" t="s">
        <v>179</v>
      </c>
      <c r="N158" s="9" t="s">
        <v>362</v>
      </c>
      <c r="O158" s="10" t="s">
        <v>363</v>
      </c>
      <c r="P158" s="4">
        <f t="shared" si="21"/>
        <v>60</v>
      </c>
      <c r="Q158" s="4" t="str">
        <f t="shared" si="19"/>
        <v>56-65</v>
      </c>
      <c r="R158" s="11">
        <v>1947</v>
      </c>
      <c r="S158" s="4">
        <v>5</v>
      </c>
      <c r="T158" s="4">
        <v>24</v>
      </c>
      <c r="U158" s="3" t="s">
        <v>175</v>
      </c>
      <c r="V158" s="3" t="s">
        <v>490</v>
      </c>
      <c r="W158" s="13"/>
      <c r="X158" s="3" t="s">
        <v>34</v>
      </c>
      <c r="Y158" s="4">
        <v>5</v>
      </c>
      <c r="Z158" s="3" t="s">
        <v>35</v>
      </c>
      <c r="AA158" s="13" t="s">
        <v>525</v>
      </c>
    </row>
    <row r="159" spans="2:27" ht="14.25" customHeight="1" x14ac:dyDescent="0.3">
      <c r="B159" s="34">
        <f t="shared" si="18"/>
        <v>1015</v>
      </c>
      <c r="C159" s="4">
        <v>1</v>
      </c>
      <c r="D159" s="4">
        <v>2004</v>
      </c>
      <c r="E159" s="4">
        <v>11</v>
      </c>
      <c r="F159" s="3" t="s">
        <v>1</v>
      </c>
      <c r="G159" s="5">
        <v>15</v>
      </c>
      <c r="H159" s="7">
        <v>782.25200000000007</v>
      </c>
      <c r="I159" s="22">
        <v>208930.81200000001</v>
      </c>
      <c r="J159" s="22" t="s">
        <v>4</v>
      </c>
      <c r="K159" s="22"/>
      <c r="L159" s="3" t="s">
        <v>48</v>
      </c>
      <c r="M159" s="3" t="s">
        <v>179</v>
      </c>
      <c r="N159" s="9" t="s">
        <v>194</v>
      </c>
      <c r="O159" s="10" t="s">
        <v>195</v>
      </c>
      <c r="P159" s="4">
        <f t="shared" si="21"/>
        <v>61</v>
      </c>
      <c r="Q159" s="4" t="str">
        <f t="shared" si="19"/>
        <v>56-65</v>
      </c>
      <c r="R159" s="11">
        <v>1943</v>
      </c>
      <c r="S159" s="4">
        <v>6</v>
      </c>
      <c r="T159" s="4">
        <v>18</v>
      </c>
      <c r="U159" s="3" t="s">
        <v>175</v>
      </c>
      <c r="V159" s="3" t="s">
        <v>5</v>
      </c>
      <c r="W159" s="3" t="s">
        <v>16</v>
      </c>
      <c r="X159" s="3" t="s">
        <v>33</v>
      </c>
      <c r="Y159" s="4">
        <v>5</v>
      </c>
      <c r="Z159" s="3" t="s">
        <v>36</v>
      </c>
      <c r="AA159" s="3" t="s">
        <v>525</v>
      </c>
    </row>
    <row r="160" spans="2:27" ht="14.25" customHeight="1" x14ac:dyDescent="0.3">
      <c r="B160" s="34">
        <f t="shared" si="18"/>
        <v>5041</v>
      </c>
      <c r="C160" s="4">
        <v>5</v>
      </c>
      <c r="D160" s="4">
        <v>2007</v>
      </c>
      <c r="E160" s="4">
        <v>11</v>
      </c>
      <c r="F160" s="3" t="s">
        <v>1</v>
      </c>
      <c r="G160" s="5">
        <v>41</v>
      </c>
      <c r="H160" s="7">
        <v>798.28440000000001</v>
      </c>
      <c r="I160" s="22">
        <v>263123.42080000002</v>
      </c>
      <c r="J160" s="22" t="s">
        <v>4</v>
      </c>
      <c r="K160" s="22"/>
      <c r="L160" s="3" t="s">
        <v>510</v>
      </c>
      <c r="M160" s="3" t="s">
        <v>179</v>
      </c>
      <c r="N160" s="9" t="s">
        <v>467</v>
      </c>
      <c r="O160" s="10" t="s">
        <v>468</v>
      </c>
      <c r="P160" s="4">
        <f t="shared" si="21"/>
        <v>61</v>
      </c>
      <c r="Q160" s="4" t="str">
        <f t="shared" si="19"/>
        <v>56-65</v>
      </c>
      <c r="R160" s="11">
        <v>1946</v>
      </c>
      <c r="S160" s="4">
        <v>9</v>
      </c>
      <c r="T160" s="4">
        <v>14</v>
      </c>
      <c r="U160" s="3" t="s">
        <v>175</v>
      </c>
      <c r="V160" s="3" t="s">
        <v>5</v>
      </c>
      <c r="W160" s="3" t="s">
        <v>13</v>
      </c>
      <c r="X160" s="3" t="s">
        <v>34</v>
      </c>
      <c r="Y160" s="4">
        <v>4</v>
      </c>
      <c r="Z160" s="3" t="s">
        <v>35</v>
      </c>
      <c r="AA160" s="3" t="s">
        <v>39</v>
      </c>
    </row>
    <row r="161" spans="2:27" ht="14.25" customHeight="1" x14ac:dyDescent="0.3">
      <c r="B161" s="34">
        <f t="shared" si="18"/>
        <v>5036</v>
      </c>
      <c r="C161" s="4">
        <v>5</v>
      </c>
      <c r="D161" s="4">
        <v>2007</v>
      </c>
      <c r="E161" s="4">
        <v>11</v>
      </c>
      <c r="F161" s="3" t="s">
        <v>1</v>
      </c>
      <c r="G161" s="5">
        <v>36</v>
      </c>
      <c r="H161" s="7">
        <v>1057.9232</v>
      </c>
      <c r="I161" s="22">
        <v>286433.57279999997</v>
      </c>
      <c r="J161" s="22" t="s">
        <v>4</v>
      </c>
      <c r="K161" s="22"/>
      <c r="L161" s="3" t="s">
        <v>515</v>
      </c>
      <c r="M161" s="3" t="s">
        <v>179</v>
      </c>
      <c r="N161" s="9" t="s">
        <v>244</v>
      </c>
      <c r="O161" s="10" t="s">
        <v>245</v>
      </c>
      <c r="P161" s="4">
        <f t="shared" si="21"/>
        <v>64</v>
      </c>
      <c r="Q161" s="4" t="str">
        <f t="shared" si="19"/>
        <v>56-65</v>
      </c>
      <c r="R161" s="11">
        <v>1943</v>
      </c>
      <c r="S161" s="4">
        <v>7</v>
      </c>
      <c r="T161" s="4">
        <v>24</v>
      </c>
      <c r="U161" s="3" t="s">
        <v>177</v>
      </c>
      <c r="V161" s="3" t="s">
        <v>5</v>
      </c>
      <c r="W161" s="3" t="s">
        <v>13</v>
      </c>
      <c r="X161" s="3" t="s">
        <v>33</v>
      </c>
      <c r="Y161" s="4">
        <v>4</v>
      </c>
      <c r="Z161" s="3" t="s">
        <v>36</v>
      </c>
      <c r="AA161" s="3" t="s">
        <v>525</v>
      </c>
    </row>
    <row r="162" spans="2:27" ht="14.25" customHeight="1" x14ac:dyDescent="0.3">
      <c r="B162" s="34">
        <f t="shared" si="18"/>
        <v>2037</v>
      </c>
      <c r="C162" s="4">
        <v>2</v>
      </c>
      <c r="D162" s="4">
        <v>2006</v>
      </c>
      <c r="E162" s="4">
        <v>9</v>
      </c>
      <c r="F162" s="3" t="s">
        <v>1</v>
      </c>
      <c r="G162" s="5">
        <v>37</v>
      </c>
      <c r="H162" s="7">
        <v>723.8252</v>
      </c>
      <c r="I162" s="22">
        <v>229581.7836</v>
      </c>
      <c r="J162" s="22" t="s">
        <v>4</v>
      </c>
      <c r="K162" s="22"/>
      <c r="L162" s="3" t="s">
        <v>79</v>
      </c>
      <c r="M162" s="3" t="s">
        <v>179</v>
      </c>
      <c r="N162" s="9" t="s">
        <v>270</v>
      </c>
      <c r="O162" s="10" t="s">
        <v>271</v>
      </c>
      <c r="P162" s="4">
        <f t="shared" ref="P162:P171" si="22">IF((D162-R162)=0," ",D162-R162)</f>
        <v>65</v>
      </c>
      <c r="Q162" s="4" t="str">
        <f t="shared" si="19"/>
        <v>56-65</v>
      </c>
      <c r="R162" s="11">
        <v>1941</v>
      </c>
      <c r="S162" s="4">
        <v>3</v>
      </c>
      <c r="T162" s="4">
        <v>2.9999999999999996</v>
      </c>
      <c r="U162" s="3" t="s">
        <v>177</v>
      </c>
      <c r="V162" s="3" t="s">
        <v>5</v>
      </c>
      <c r="W162" s="3" t="s">
        <v>19</v>
      </c>
      <c r="X162" s="3" t="s">
        <v>33</v>
      </c>
      <c r="Y162" s="4">
        <v>3</v>
      </c>
      <c r="Z162" s="3" t="s">
        <v>35</v>
      </c>
      <c r="AA162" s="3" t="s">
        <v>39</v>
      </c>
    </row>
    <row r="163" spans="2:27" ht="14.25" customHeight="1" x14ac:dyDescent="0.3">
      <c r="B163" s="34">
        <f t="shared" si="18"/>
        <v>5034</v>
      </c>
      <c r="C163" s="4">
        <v>5</v>
      </c>
      <c r="D163" s="4">
        <v>2007</v>
      </c>
      <c r="E163" s="4">
        <v>10</v>
      </c>
      <c r="F163" s="3" t="s">
        <v>1</v>
      </c>
      <c r="G163" s="5">
        <v>34</v>
      </c>
      <c r="H163" s="7">
        <v>798.28440000000001</v>
      </c>
      <c r="I163" s="22">
        <v>252053.0264</v>
      </c>
      <c r="J163" s="22" t="s">
        <v>4</v>
      </c>
      <c r="K163" s="22"/>
      <c r="L163" s="3" t="s">
        <v>148</v>
      </c>
      <c r="M163" s="3" t="s">
        <v>179</v>
      </c>
      <c r="N163" s="9" t="s">
        <v>446</v>
      </c>
      <c r="O163" s="10" t="s">
        <v>447</v>
      </c>
      <c r="P163" s="4">
        <f t="shared" si="22"/>
        <v>65</v>
      </c>
      <c r="Q163" s="4" t="str">
        <f t="shared" si="19"/>
        <v>56-65</v>
      </c>
      <c r="R163" s="11">
        <v>1942</v>
      </c>
      <c r="S163" s="4">
        <v>7.0000000000000009</v>
      </c>
      <c r="T163" s="4">
        <v>23</v>
      </c>
      <c r="U163" s="3" t="s">
        <v>177</v>
      </c>
      <c r="V163" s="3" t="s">
        <v>5</v>
      </c>
      <c r="W163" s="3" t="s">
        <v>15</v>
      </c>
      <c r="X163" s="3" t="s">
        <v>33</v>
      </c>
      <c r="Y163" s="4">
        <v>4</v>
      </c>
      <c r="Z163" s="3" t="s">
        <v>35</v>
      </c>
      <c r="AA163" s="3" t="s">
        <v>525</v>
      </c>
    </row>
    <row r="164" spans="2:27" ht="14.25" customHeight="1" x14ac:dyDescent="0.3">
      <c r="B164" s="34">
        <f t="shared" si="18"/>
        <v>4016</v>
      </c>
      <c r="C164" s="4">
        <v>4</v>
      </c>
      <c r="D164" s="4">
        <v>2007</v>
      </c>
      <c r="E164" s="4">
        <v>11</v>
      </c>
      <c r="F164" s="3" t="s">
        <v>1</v>
      </c>
      <c r="G164" s="5">
        <v>16</v>
      </c>
      <c r="H164" s="7">
        <v>794.51840000000004</v>
      </c>
      <c r="I164" s="22">
        <v>244820.66720000003</v>
      </c>
      <c r="J164" s="22" t="s">
        <v>4</v>
      </c>
      <c r="K164" s="22"/>
      <c r="L164" s="3" t="s">
        <v>509</v>
      </c>
      <c r="M164" s="3" t="s">
        <v>179</v>
      </c>
      <c r="N164" s="9" t="s">
        <v>262</v>
      </c>
      <c r="O164" s="10" t="s">
        <v>263</v>
      </c>
      <c r="P164" s="4">
        <f t="shared" si="22"/>
        <v>65</v>
      </c>
      <c r="Q164" s="4" t="str">
        <f t="shared" si="19"/>
        <v>56-65</v>
      </c>
      <c r="R164" s="11">
        <v>1942</v>
      </c>
      <c r="S164" s="4">
        <v>4</v>
      </c>
      <c r="T164" s="4">
        <v>14</v>
      </c>
      <c r="U164" s="3" t="s">
        <v>175</v>
      </c>
      <c r="V164" s="3" t="s">
        <v>5</v>
      </c>
      <c r="W164" s="3" t="s">
        <v>13</v>
      </c>
      <c r="X164" s="3" t="s">
        <v>33</v>
      </c>
      <c r="Y164" s="4">
        <v>3</v>
      </c>
      <c r="Z164" s="3" t="s">
        <v>35</v>
      </c>
      <c r="AA164" s="3" t="s">
        <v>525</v>
      </c>
    </row>
    <row r="165" spans="2:27" ht="14.25" customHeight="1" x14ac:dyDescent="0.3">
      <c r="B165" s="34">
        <f t="shared" si="18"/>
        <v>4040</v>
      </c>
      <c r="C165" s="4">
        <v>4</v>
      </c>
      <c r="D165" s="4">
        <v>2007</v>
      </c>
      <c r="E165" s="4">
        <v>12</v>
      </c>
      <c r="F165" s="3" t="s">
        <v>1</v>
      </c>
      <c r="G165" s="5">
        <v>40</v>
      </c>
      <c r="H165" s="7">
        <v>794.51840000000004</v>
      </c>
      <c r="I165" s="22">
        <v>241620.48320000002</v>
      </c>
      <c r="J165" s="22" t="s">
        <v>4</v>
      </c>
      <c r="K165" s="22"/>
      <c r="L165" s="3" t="s">
        <v>161</v>
      </c>
      <c r="M165" s="3" t="s">
        <v>179</v>
      </c>
      <c r="N165" s="9" t="s">
        <v>477</v>
      </c>
      <c r="O165" s="10" t="s">
        <v>478</v>
      </c>
      <c r="P165" s="4">
        <f t="shared" si="22"/>
        <v>65</v>
      </c>
      <c r="Q165" s="4" t="str">
        <f t="shared" si="19"/>
        <v>56-65</v>
      </c>
      <c r="R165" s="11">
        <v>1942</v>
      </c>
      <c r="S165" s="4">
        <v>7.0000000000000009</v>
      </c>
      <c r="T165" s="4">
        <v>19</v>
      </c>
      <c r="U165" s="3" t="s">
        <v>177</v>
      </c>
      <c r="V165" s="3" t="s">
        <v>5</v>
      </c>
      <c r="W165" s="3" t="s">
        <v>13</v>
      </c>
      <c r="X165" s="3" t="s">
        <v>33</v>
      </c>
      <c r="Y165" s="4">
        <v>1</v>
      </c>
      <c r="Z165" s="3" t="s">
        <v>36</v>
      </c>
      <c r="AA165" s="3" t="s">
        <v>525</v>
      </c>
    </row>
    <row r="166" spans="2:27" ht="14.25" customHeight="1" x14ac:dyDescent="0.3">
      <c r="B166" s="34">
        <f t="shared" ref="B166:B183" si="23">C166*1000+G166</f>
        <v>1024</v>
      </c>
      <c r="C166" s="4">
        <v>1</v>
      </c>
      <c r="D166" s="4">
        <v>2006</v>
      </c>
      <c r="E166" s="4">
        <v>6</v>
      </c>
      <c r="F166" s="3" t="s">
        <v>1</v>
      </c>
      <c r="G166" s="5">
        <v>24</v>
      </c>
      <c r="H166" s="7">
        <v>782.25200000000007</v>
      </c>
      <c r="I166" s="22">
        <v>235762.34000000003</v>
      </c>
      <c r="J166" s="22" t="s">
        <v>4</v>
      </c>
      <c r="K166" s="22"/>
      <c r="L166" s="3" t="s">
        <v>70</v>
      </c>
      <c r="M166" s="3" t="s">
        <v>179</v>
      </c>
      <c r="N166" s="9" t="s">
        <v>280</v>
      </c>
      <c r="O166" s="10" t="s">
        <v>281</v>
      </c>
      <c r="P166" s="4">
        <f t="shared" si="22"/>
        <v>66</v>
      </c>
      <c r="Q166" s="4" t="str">
        <f t="shared" ref="Q166:Q183" si="24">IF(P166&lt;26,"18-25",IF(P166&lt;36,"26-35",IF(P166&lt;46,"36-45",IF(P166&lt;56,"46-55",IF(P166&lt;66,"56-65","65+")))))</f>
        <v>65+</v>
      </c>
      <c r="R166" s="11">
        <v>1940</v>
      </c>
      <c r="S166" s="4">
        <v>3</v>
      </c>
      <c r="T166" s="4">
        <v>5</v>
      </c>
      <c r="U166" s="3" t="s">
        <v>175</v>
      </c>
      <c r="V166" s="3" t="s">
        <v>5</v>
      </c>
      <c r="W166" s="3" t="s">
        <v>13</v>
      </c>
      <c r="X166" s="3" t="s">
        <v>33</v>
      </c>
      <c r="Y166" s="4">
        <v>5</v>
      </c>
      <c r="Z166" s="3" t="s">
        <v>35</v>
      </c>
      <c r="AA166" s="3" t="s">
        <v>525</v>
      </c>
    </row>
    <row r="167" spans="2:27" ht="14.25" customHeight="1" x14ac:dyDescent="0.3">
      <c r="B167" s="34">
        <f t="shared" si="23"/>
        <v>2013</v>
      </c>
      <c r="C167" s="4">
        <v>2</v>
      </c>
      <c r="D167" s="4">
        <v>2007</v>
      </c>
      <c r="E167" s="4">
        <v>3</v>
      </c>
      <c r="F167" s="3" t="s">
        <v>1</v>
      </c>
      <c r="G167" s="5">
        <v>13</v>
      </c>
      <c r="H167" s="7">
        <v>785.48</v>
      </c>
      <c r="I167" s="22">
        <v>236639.56</v>
      </c>
      <c r="J167" s="22" t="s">
        <v>4</v>
      </c>
      <c r="K167" s="22"/>
      <c r="L167" s="3" t="s">
        <v>104</v>
      </c>
      <c r="M167" s="3" t="s">
        <v>179</v>
      </c>
      <c r="N167" s="9" t="s">
        <v>350</v>
      </c>
      <c r="O167" s="10" t="s">
        <v>351</v>
      </c>
      <c r="P167" s="4">
        <f t="shared" si="22"/>
        <v>66</v>
      </c>
      <c r="Q167" s="4" t="str">
        <f t="shared" si="24"/>
        <v>65+</v>
      </c>
      <c r="R167" s="11">
        <v>1941</v>
      </c>
      <c r="S167" s="4">
        <v>8</v>
      </c>
      <c r="T167" s="4">
        <v>19</v>
      </c>
      <c r="U167" s="3" t="s">
        <v>177</v>
      </c>
      <c r="V167" s="3" t="s">
        <v>5</v>
      </c>
      <c r="W167" s="3" t="s">
        <v>13</v>
      </c>
      <c r="X167" s="3" t="s">
        <v>33</v>
      </c>
      <c r="Y167" s="4">
        <v>5</v>
      </c>
      <c r="Z167" s="3" t="s">
        <v>35</v>
      </c>
      <c r="AA167" s="3" t="s">
        <v>182</v>
      </c>
    </row>
    <row r="168" spans="2:27" ht="14.25" customHeight="1" x14ac:dyDescent="0.3">
      <c r="B168" s="34">
        <f t="shared" si="23"/>
        <v>3010</v>
      </c>
      <c r="C168" s="4">
        <v>3</v>
      </c>
      <c r="D168" s="4">
        <v>2007</v>
      </c>
      <c r="E168" s="12">
        <v>8</v>
      </c>
      <c r="F168" s="3" t="s">
        <v>1</v>
      </c>
      <c r="G168" s="4">
        <v>10</v>
      </c>
      <c r="H168" s="7">
        <v>923.20799999999997</v>
      </c>
      <c r="I168" s="22">
        <v>294807.64799999999</v>
      </c>
      <c r="J168" s="22" t="s">
        <v>4</v>
      </c>
      <c r="K168" s="22"/>
      <c r="L168" s="3" t="s">
        <v>138</v>
      </c>
      <c r="M168" s="3" t="s">
        <v>179</v>
      </c>
      <c r="N168" s="9" t="s">
        <v>436</v>
      </c>
      <c r="O168" s="10" t="s">
        <v>437</v>
      </c>
      <c r="P168" s="4">
        <f t="shared" si="22"/>
        <v>66</v>
      </c>
      <c r="Q168" s="4" t="str">
        <f t="shared" si="24"/>
        <v>65+</v>
      </c>
      <c r="R168" s="11">
        <v>1941</v>
      </c>
      <c r="S168" s="4">
        <v>12</v>
      </c>
      <c r="T168" s="4">
        <v>1</v>
      </c>
      <c r="U168" s="3" t="s">
        <v>175</v>
      </c>
      <c r="V168" s="3" t="s">
        <v>5</v>
      </c>
      <c r="W168" s="3" t="s">
        <v>13</v>
      </c>
      <c r="X168" s="3" t="s">
        <v>34</v>
      </c>
      <c r="Y168" s="4">
        <v>4</v>
      </c>
      <c r="Z168" s="3" t="s">
        <v>35</v>
      </c>
      <c r="AA168" s="3" t="s">
        <v>525</v>
      </c>
    </row>
    <row r="169" spans="2:27" ht="14.25" customHeight="1" x14ac:dyDescent="0.3">
      <c r="B169" s="34">
        <f t="shared" si="23"/>
        <v>3018</v>
      </c>
      <c r="C169" s="4">
        <v>3</v>
      </c>
      <c r="D169" s="4">
        <v>2007</v>
      </c>
      <c r="E169" s="12">
        <v>8</v>
      </c>
      <c r="F169" s="3" t="s">
        <v>1</v>
      </c>
      <c r="G169" s="4">
        <v>18</v>
      </c>
      <c r="H169" s="7">
        <v>923.20799999999997</v>
      </c>
      <c r="I169" s="22">
        <v>293828.68799999997</v>
      </c>
      <c r="J169" s="22" t="s">
        <v>4</v>
      </c>
      <c r="K169" s="22"/>
      <c r="L169" s="3" t="s">
        <v>138</v>
      </c>
      <c r="M169" s="3" t="s">
        <v>179</v>
      </c>
      <c r="N169" s="9" t="s">
        <v>436</v>
      </c>
      <c r="O169" s="10" t="s">
        <v>437</v>
      </c>
      <c r="P169" s="4">
        <f t="shared" si="22"/>
        <v>66</v>
      </c>
      <c r="Q169" s="4" t="str">
        <f t="shared" si="24"/>
        <v>65+</v>
      </c>
      <c r="R169" s="11">
        <v>1941</v>
      </c>
      <c r="S169" s="4">
        <v>12</v>
      </c>
      <c r="T169" s="4">
        <v>1</v>
      </c>
      <c r="U169" s="3" t="s">
        <v>175</v>
      </c>
      <c r="V169" s="3" t="s">
        <v>5</v>
      </c>
      <c r="W169" s="3" t="s">
        <v>13</v>
      </c>
      <c r="X169" s="3" t="s">
        <v>34</v>
      </c>
      <c r="Y169" s="4">
        <v>5</v>
      </c>
      <c r="Z169" s="3" t="s">
        <v>35</v>
      </c>
      <c r="AA169" s="3" t="s">
        <v>525</v>
      </c>
    </row>
    <row r="170" spans="2:27" ht="14.25" customHeight="1" x14ac:dyDescent="0.3">
      <c r="B170" s="34">
        <f t="shared" si="23"/>
        <v>1033</v>
      </c>
      <c r="C170" s="4">
        <v>1</v>
      </c>
      <c r="D170" s="4">
        <v>2004</v>
      </c>
      <c r="E170" s="4">
        <v>8</v>
      </c>
      <c r="F170" s="3" t="s">
        <v>1</v>
      </c>
      <c r="G170" s="5">
        <v>33</v>
      </c>
      <c r="H170" s="7">
        <v>1434.0927999999999</v>
      </c>
      <c r="I170" s="22">
        <v>412856.56159999996</v>
      </c>
      <c r="J170" s="22" t="s">
        <v>4</v>
      </c>
      <c r="K170" s="22"/>
      <c r="L170" s="3" t="s">
        <v>32</v>
      </c>
      <c r="M170" s="3" t="s">
        <v>179</v>
      </c>
      <c r="N170" s="9" t="s">
        <v>186</v>
      </c>
      <c r="O170" s="10" t="s">
        <v>187</v>
      </c>
      <c r="P170" s="4">
        <f t="shared" si="22"/>
        <v>67</v>
      </c>
      <c r="Q170" s="4" t="str">
        <f t="shared" si="24"/>
        <v>65+</v>
      </c>
      <c r="R170" s="11">
        <v>1937</v>
      </c>
      <c r="S170" s="4">
        <v>1</v>
      </c>
      <c r="T170" s="4">
        <v>20</v>
      </c>
      <c r="U170" s="3" t="s">
        <v>175</v>
      </c>
      <c r="V170" s="3" t="s">
        <v>5</v>
      </c>
      <c r="W170" s="3" t="s">
        <v>14</v>
      </c>
      <c r="X170" s="3" t="s">
        <v>33</v>
      </c>
      <c r="Y170" s="4">
        <v>2</v>
      </c>
      <c r="Z170" s="3" t="s">
        <v>36</v>
      </c>
      <c r="AA170" s="3" t="s">
        <v>525</v>
      </c>
    </row>
    <row r="171" spans="2:27" ht="14.25" customHeight="1" x14ac:dyDescent="0.3">
      <c r="B171" s="34">
        <f t="shared" si="23"/>
        <v>1016</v>
      </c>
      <c r="C171" s="4">
        <v>1</v>
      </c>
      <c r="D171" s="4">
        <v>2006</v>
      </c>
      <c r="E171" s="4">
        <v>2</v>
      </c>
      <c r="F171" s="3" t="s">
        <v>1</v>
      </c>
      <c r="G171" s="5">
        <v>16</v>
      </c>
      <c r="H171" s="7">
        <v>782.25200000000007</v>
      </c>
      <c r="I171" s="22">
        <v>224076.83600000001</v>
      </c>
      <c r="J171" s="22" t="s">
        <v>4</v>
      </c>
      <c r="K171" s="22"/>
      <c r="L171" s="3" t="s">
        <v>66</v>
      </c>
      <c r="M171" s="3" t="s">
        <v>179</v>
      </c>
      <c r="N171" s="9" t="s">
        <v>234</v>
      </c>
      <c r="O171" s="10" t="s">
        <v>235</v>
      </c>
      <c r="P171" s="4">
        <f t="shared" si="22"/>
        <v>67</v>
      </c>
      <c r="Q171" s="4" t="str">
        <f t="shared" si="24"/>
        <v>65+</v>
      </c>
      <c r="R171" s="11">
        <v>1939</v>
      </c>
      <c r="S171" s="4">
        <v>9</v>
      </c>
      <c r="T171" s="4">
        <v>2.9999999999999996</v>
      </c>
      <c r="U171" s="3" t="s">
        <v>177</v>
      </c>
      <c r="V171" s="3" t="s">
        <v>5</v>
      </c>
      <c r="W171" s="3" t="s">
        <v>13</v>
      </c>
      <c r="X171" s="3" t="s">
        <v>34</v>
      </c>
      <c r="Y171" s="4">
        <v>5</v>
      </c>
      <c r="Z171" s="3" t="s">
        <v>35</v>
      </c>
      <c r="AA171" s="3" t="s">
        <v>525</v>
      </c>
    </row>
    <row r="172" spans="2:27" ht="14.25" customHeight="1" x14ac:dyDescent="0.3">
      <c r="B172" s="34">
        <f t="shared" si="23"/>
        <v>3005</v>
      </c>
      <c r="C172" s="4">
        <v>3</v>
      </c>
      <c r="D172" s="4">
        <v>2006</v>
      </c>
      <c r="E172" s="14">
        <v>3</v>
      </c>
      <c r="F172" s="3" t="s">
        <v>1</v>
      </c>
      <c r="G172" s="4">
        <v>5</v>
      </c>
      <c r="H172" s="7">
        <v>781.0684</v>
      </c>
      <c r="I172" s="22">
        <v>258015.61439999999</v>
      </c>
      <c r="J172" s="22" t="s">
        <v>4</v>
      </c>
      <c r="K172" s="22"/>
      <c r="L172" s="3" t="s">
        <v>505</v>
      </c>
      <c r="M172" s="3" t="s">
        <v>179</v>
      </c>
      <c r="N172" s="9" t="s">
        <v>304</v>
      </c>
      <c r="O172" s="10" t="s">
        <v>305</v>
      </c>
      <c r="P172" s="4">
        <f t="shared" ref="P172:P184" si="25">IF((D172-R172)=0," ",D172-R172)</f>
        <v>67</v>
      </c>
      <c r="Q172" s="4" t="str">
        <f t="shared" si="24"/>
        <v>65+</v>
      </c>
      <c r="R172" s="11">
        <v>1939</v>
      </c>
      <c r="S172" s="4">
        <v>6</v>
      </c>
      <c r="T172" s="4">
        <v>30</v>
      </c>
      <c r="U172" s="3" t="s">
        <v>177</v>
      </c>
      <c r="V172" s="3" t="s">
        <v>5</v>
      </c>
      <c r="W172" s="3" t="s">
        <v>18</v>
      </c>
      <c r="X172" s="3" t="s">
        <v>34</v>
      </c>
      <c r="Y172" s="4">
        <v>3</v>
      </c>
      <c r="Z172" s="3" t="s">
        <v>36</v>
      </c>
      <c r="AA172" s="3" t="s">
        <v>525</v>
      </c>
    </row>
    <row r="173" spans="2:27" ht="14.25" customHeight="1" x14ac:dyDescent="0.3">
      <c r="B173" s="34">
        <f t="shared" si="23"/>
        <v>5019</v>
      </c>
      <c r="C173" s="4">
        <v>5</v>
      </c>
      <c r="D173" s="4">
        <v>2007</v>
      </c>
      <c r="E173" s="4">
        <v>6</v>
      </c>
      <c r="F173" s="3" t="s">
        <v>1</v>
      </c>
      <c r="G173" s="5">
        <v>19</v>
      </c>
      <c r="H173" s="7">
        <v>618.37720000000002</v>
      </c>
      <c r="I173" s="22">
        <v>153466.71240000002</v>
      </c>
      <c r="J173" s="22" t="s">
        <v>4</v>
      </c>
      <c r="K173" s="22"/>
      <c r="L173" s="3" t="s">
        <v>127</v>
      </c>
      <c r="M173" s="3" t="s">
        <v>179</v>
      </c>
      <c r="N173" s="9" t="s">
        <v>418</v>
      </c>
      <c r="O173" s="10" t="s">
        <v>419</v>
      </c>
      <c r="P173" s="4">
        <f t="shared" si="25"/>
        <v>68</v>
      </c>
      <c r="Q173" s="4" t="str">
        <f t="shared" si="24"/>
        <v>65+</v>
      </c>
      <c r="R173" s="11">
        <v>1939</v>
      </c>
      <c r="S173" s="4">
        <v>3</v>
      </c>
      <c r="T173" s="4">
        <v>5</v>
      </c>
      <c r="U173" s="3" t="s">
        <v>175</v>
      </c>
      <c r="V173" s="3" t="s">
        <v>5</v>
      </c>
      <c r="W173" s="3" t="s">
        <v>17</v>
      </c>
      <c r="X173" s="3" t="s">
        <v>34</v>
      </c>
      <c r="Y173" s="4">
        <v>2</v>
      </c>
      <c r="Z173" s="3" t="s">
        <v>35</v>
      </c>
      <c r="AA173" s="3" t="s">
        <v>39</v>
      </c>
    </row>
    <row r="174" spans="2:27" ht="14.25" customHeight="1" x14ac:dyDescent="0.3">
      <c r="B174" s="34">
        <f t="shared" si="23"/>
        <v>3002</v>
      </c>
      <c r="C174" s="4">
        <v>3</v>
      </c>
      <c r="D174" s="4">
        <v>2007</v>
      </c>
      <c r="E174" s="12">
        <v>8</v>
      </c>
      <c r="F174" s="3" t="s">
        <v>1</v>
      </c>
      <c r="G174" s="4">
        <v>2</v>
      </c>
      <c r="H174" s="7">
        <v>923.20799999999997</v>
      </c>
      <c r="I174" s="22">
        <v>261871.696</v>
      </c>
      <c r="J174" s="22" t="s">
        <v>4</v>
      </c>
      <c r="K174" s="22"/>
      <c r="L174" s="3" t="s">
        <v>135</v>
      </c>
      <c r="M174" s="3" t="s">
        <v>179</v>
      </c>
      <c r="N174" s="9" t="s">
        <v>426</v>
      </c>
      <c r="O174" s="10" t="s">
        <v>427</v>
      </c>
      <c r="P174" s="4">
        <f t="shared" si="25"/>
        <v>69</v>
      </c>
      <c r="Q174" s="4" t="str">
        <f t="shared" si="24"/>
        <v>65+</v>
      </c>
      <c r="R174" s="11">
        <v>1938</v>
      </c>
      <c r="S174" s="4">
        <v>10</v>
      </c>
      <c r="T174" s="4">
        <v>28.999999999999996</v>
      </c>
      <c r="U174" s="3" t="s">
        <v>175</v>
      </c>
      <c r="V174" s="3" t="s">
        <v>5</v>
      </c>
      <c r="W174" s="3" t="s">
        <v>13</v>
      </c>
      <c r="X174" s="3" t="s">
        <v>33</v>
      </c>
      <c r="Y174" s="4">
        <v>5</v>
      </c>
      <c r="Z174" s="3" t="s">
        <v>35</v>
      </c>
      <c r="AA174" s="3" t="s">
        <v>525</v>
      </c>
    </row>
    <row r="175" spans="2:27" ht="14.25" customHeight="1" x14ac:dyDescent="0.3">
      <c r="B175" s="34">
        <f t="shared" si="23"/>
        <v>3004</v>
      </c>
      <c r="C175" s="4">
        <v>3</v>
      </c>
      <c r="D175" s="4">
        <v>2007</v>
      </c>
      <c r="E175" s="12">
        <v>8</v>
      </c>
      <c r="F175" s="3" t="s">
        <v>1</v>
      </c>
      <c r="G175" s="4">
        <v>4</v>
      </c>
      <c r="H175" s="7">
        <v>781.0684</v>
      </c>
      <c r="I175" s="22">
        <v>210038.6992</v>
      </c>
      <c r="J175" s="22" t="s">
        <v>4</v>
      </c>
      <c r="K175" s="22"/>
      <c r="L175" s="3" t="s">
        <v>135</v>
      </c>
      <c r="M175" s="3" t="s">
        <v>179</v>
      </c>
      <c r="N175" s="9" t="s">
        <v>426</v>
      </c>
      <c r="O175" s="10" t="s">
        <v>427</v>
      </c>
      <c r="P175" s="4">
        <f t="shared" si="25"/>
        <v>69</v>
      </c>
      <c r="Q175" s="4" t="str">
        <f t="shared" si="24"/>
        <v>65+</v>
      </c>
      <c r="R175" s="11">
        <v>1938</v>
      </c>
      <c r="S175" s="4">
        <v>10</v>
      </c>
      <c r="T175" s="4">
        <v>28.999999999999996</v>
      </c>
      <c r="U175" s="3" t="s">
        <v>175</v>
      </c>
      <c r="V175" s="3" t="s">
        <v>5</v>
      </c>
      <c r="W175" s="3" t="s">
        <v>13</v>
      </c>
      <c r="X175" s="3" t="s">
        <v>33</v>
      </c>
      <c r="Y175" s="4">
        <v>5</v>
      </c>
      <c r="Z175" s="3" t="s">
        <v>35</v>
      </c>
      <c r="AA175" s="3" t="s">
        <v>525</v>
      </c>
    </row>
    <row r="176" spans="2:27" ht="14.25" customHeight="1" x14ac:dyDescent="0.3">
      <c r="B176" s="34">
        <f t="shared" si="23"/>
        <v>3012</v>
      </c>
      <c r="C176" s="4">
        <v>3</v>
      </c>
      <c r="D176" s="4">
        <v>2007</v>
      </c>
      <c r="E176" s="12">
        <v>10</v>
      </c>
      <c r="F176" s="3" t="s">
        <v>1</v>
      </c>
      <c r="G176" s="4">
        <v>12</v>
      </c>
      <c r="H176" s="7">
        <v>781.0684</v>
      </c>
      <c r="I176" s="22">
        <v>210824.0576</v>
      </c>
      <c r="J176" s="22" t="s">
        <v>4</v>
      </c>
      <c r="K176" s="22"/>
      <c r="L176" s="3" t="s">
        <v>145</v>
      </c>
      <c r="M176" s="3" t="s">
        <v>179</v>
      </c>
      <c r="N176" s="9" t="s">
        <v>440</v>
      </c>
      <c r="O176" s="10" t="s">
        <v>441</v>
      </c>
      <c r="P176" s="4">
        <f t="shared" si="25"/>
        <v>69</v>
      </c>
      <c r="Q176" s="4" t="str">
        <f t="shared" si="24"/>
        <v>65+</v>
      </c>
      <c r="R176" s="11">
        <v>1938</v>
      </c>
      <c r="S176" s="4">
        <v>6</v>
      </c>
      <c r="T176" s="4">
        <v>9</v>
      </c>
      <c r="U176" s="3" t="s">
        <v>175</v>
      </c>
      <c r="V176" s="3" t="s">
        <v>5</v>
      </c>
      <c r="W176" s="3" t="s">
        <v>18</v>
      </c>
      <c r="X176" s="3" t="s">
        <v>34</v>
      </c>
      <c r="Y176" s="4">
        <v>3</v>
      </c>
      <c r="Z176" s="3" t="s">
        <v>35</v>
      </c>
      <c r="AA176" s="3" t="s">
        <v>525</v>
      </c>
    </row>
    <row r="177" spans="2:27" ht="14.25" customHeight="1" x14ac:dyDescent="0.3">
      <c r="B177" s="34">
        <f t="shared" si="23"/>
        <v>3048</v>
      </c>
      <c r="C177" s="4">
        <v>3</v>
      </c>
      <c r="D177" s="4">
        <v>2007</v>
      </c>
      <c r="E177" s="12">
        <v>10</v>
      </c>
      <c r="F177" s="3" t="s">
        <v>1</v>
      </c>
      <c r="G177" s="4">
        <v>48</v>
      </c>
      <c r="H177" s="7">
        <v>781.0684</v>
      </c>
      <c r="I177" s="22">
        <v>249075.6568</v>
      </c>
      <c r="J177" s="22" t="s">
        <v>4</v>
      </c>
      <c r="K177" s="22"/>
      <c r="L177" s="3" t="s">
        <v>145</v>
      </c>
      <c r="M177" s="3" t="s">
        <v>179</v>
      </c>
      <c r="N177" s="9" t="s">
        <v>440</v>
      </c>
      <c r="O177" s="10" t="s">
        <v>441</v>
      </c>
      <c r="P177" s="4">
        <f t="shared" si="25"/>
        <v>69</v>
      </c>
      <c r="Q177" s="4" t="str">
        <f t="shared" si="24"/>
        <v>65+</v>
      </c>
      <c r="R177" s="11">
        <v>1938</v>
      </c>
      <c r="S177" s="4">
        <v>6</v>
      </c>
      <c r="T177" s="4">
        <v>9</v>
      </c>
      <c r="U177" s="3" t="s">
        <v>175</v>
      </c>
      <c r="V177" s="3" t="s">
        <v>5</v>
      </c>
      <c r="W177" s="3" t="s">
        <v>18</v>
      </c>
      <c r="X177" s="3" t="s">
        <v>34</v>
      </c>
      <c r="Y177" s="4">
        <v>3</v>
      </c>
      <c r="Z177" s="3" t="s">
        <v>35</v>
      </c>
      <c r="AA177" s="3" t="s">
        <v>525</v>
      </c>
    </row>
    <row r="178" spans="2:27" ht="14.25" customHeight="1" x14ac:dyDescent="0.3">
      <c r="B178" s="34">
        <f t="shared" si="23"/>
        <v>3008</v>
      </c>
      <c r="C178" s="4">
        <v>3</v>
      </c>
      <c r="D178" s="4">
        <v>2007</v>
      </c>
      <c r="E178" s="12">
        <v>6</v>
      </c>
      <c r="F178" s="3" t="s">
        <v>1</v>
      </c>
      <c r="G178" s="4">
        <v>8</v>
      </c>
      <c r="H178" s="7">
        <v>697.89359999999999</v>
      </c>
      <c r="I178" s="22">
        <v>219865.76079999999</v>
      </c>
      <c r="J178" s="22" t="s">
        <v>4</v>
      </c>
      <c r="K178" s="22"/>
      <c r="L178" s="3" t="s">
        <v>125</v>
      </c>
      <c r="M178" s="3" t="s">
        <v>179</v>
      </c>
      <c r="N178" s="9" t="s">
        <v>407</v>
      </c>
      <c r="O178" s="10" t="s">
        <v>408</v>
      </c>
      <c r="P178" s="4">
        <f t="shared" si="25"/>
        <v>71</v>
      </c>
      <c r="Q178" s="4" t="str">
        <f t="shared" si="24"/>
        <v>65+</v>
      </c>
      <c r="R178" s="11">
        <v>1936</v>
      </c>
      <c r="S178" s="4">
        <v>8</v>
      </c>
      <c r="T178" s="4">
        <v>13</v>
      </c>
      <c r="U178" s="3" t="s">
        <v>175</v>
      </c>
      <c r="V178" s="3" t="s">
        <v>5</v>
      </c>
      <c r="W178" s="3" t="s">
        <v>18</v>
      </c>
      <c r="X178" s="3" t="s">
        <v>34</v>
      </c>
      <c r="Y178" s="4">
        <v>2</v>
      </c>
      <c r="Z178" s="3" t="s">
        <v>35</v>
      </c>
      <c r="AA178" s="3" t="s">
        <v>525</v>
      </c>
    </row>
    <row r="179" spans="2:27" ht="14.25" customHeight="1" x14ac:dyDescent="0.3">
      <c r="B179" s="34">
        <f t="shared" si="23"/>
        <v>3040</v>
      </c>
      <c r="C179" s="4">
        <v>3</v>
      </c>
      <c r="D179" s="4">
        <v>2007</v>
      </c>
      <c r="E179" s="12">
        <v>6</v>
      </c>
      <c r="F179" s="3" t="s">
        <v>1</v>
      </c>
      <c r="G179" s="4">
        <v>40</v>
      </c>
      <c r="H179" s="7">
        <v>670.88599999999997</v>
      </c>
      <c r="I179" s="22">
        <v>204292.49399999998</v>
      </c>
      <c r="J179" s="22" t="s">
        <v>4</v>
      </c>
      <c r="K179" s="22"/>
      <c r="L179" s="3" t="s">
        <v>125</v>
      </c>
      <c r="M179" s="3" t="s">
        <v>179</v>
      </c>
      <c r="N179" s="9" t="s">
        <v>407</v>
      </c>
      <c r="O179" s="10" t="s">
        <v>408</v>
      </c>
      <c r="P179" s="4">
        <f t="shared" si="25"/>
        <v>71</v>
      </c>
      <c r="Q179" s="4" t="str">
        <f t="shared" si="24"/>
        <v>65+</v>
      </c>
      <c r="R179" s="11">
        <v>1936</v>
      </c>
      <c r="S179" s="4">
        <v>8</v>
      </c>
      <c r="T179" s="4">
        <v>13</v>
      </c>
      <c r="U179" s="3" t="s">
        <v>175</v>
      </c>
      <c r="V179" s="3" t="s">
        <v>5</v>
      </c>
      <c r="W179" s="3" t="s">
        <v>18</v>
      </c>
      <c r="X179" s="3" t="s">
        <v>34</v>
      </c>
      <c r="Y179" s="4">
        <v>2</v>
      </c>
      <c r="Z179" s="3" t="s">
        <v>35</v>
      </c>
      <c r="AA179" s="3" t="s">
        <v>525</v>
      </c>
    </row>
    <row r="180" spans="2:27" ht="14.25" customHeight="1" x14ac:dyDescent="0.3">
      <c r="B180" s="34">
        <f t="shared" si="23"/>
        <v>1023</v>
      </c>
      <c r="C180" s="4">
        <v>1</v>
      </c>
      <c r="D180" s="4">
        <v>2005</v>
      </c>
      <c r="E180" s="4">
        <v>4</v>
      </c>
      <c r="F180" s="3" t="s">
        <v>1</v>
      </c>
      <c r="G180" s="5">
        <v>23</v>
      </c>
      <c r="H180" s="7">
        <v>782.25200000000007</v>
      </c>
      <c r="I180" s="22">
        <v>261579.89200000002</v>
      </c>
      <c r="J180" s="22" t="s">
        <v>4</v>
      </c>
      <c r="K180" s="22"/>
      <c r="L180" s="3" t="s">
        <v>56</v>
      </c>
      <c r="M180" s="3" t="s">
        <v>179</v>
      </c>
      <c r="N180" s="9" t="s">
        <v>208</v>
      </c>
      <c r="O180" s="10" t="s">
        <v>209</v>
      </c>
      <c r="P180" s="4">
        <f t="shared" si="25"/>
        <v>73</v>
      </c>
      <c r="Q180" s="4" t="str">
        <f t="shared" si="24"/>
        <v>65+</v>
      </c>
      <c r="R180" s="11">
        <v>1932</v>
      </c>
      <c r="S180" s="4">
        <v>6</v>
      </c>
      <c r="T180" s="4">
        <v>13</v>
      </c>
      <c r="U180" s="3" t="s">
        <v>177</v>
      </c>
      <c r="V180" s="3" t="s">
        <v>6</v>
      </c>
      <c r="W180" s="3"/>
      <c r="X180" s="3" t="s">
        <v>34</v>
      </c>
      <c r="Y180" s="4">
        <v>3</v>
      </c>
      <c r="Z180" s="3" t="s">
        <v>35</v>
      </c>
      <c r="AA180" s="3" t="s">
        <v>525</v>
      </c>
    </row>
    <row r="181" spans="2:27" ht="14.25" customHeight="1" x14ac:dyDescent="0.3">
      <c r="B181" s="34">
        <f t="shared" si="23"/>
        <v>3009</v>
      </c>
      <c r="C181" s="4">
        <v>3</v>
      </c>
      <c r="D181" s="4">
        <v>2006</v>
      </c>
      <c r="E181" s="14">
        <v>5</v>
      </c>
      <c r="F181" s="3" t="s">
        <v>1</v>
      </c>
      <c r="G181" s="4">
        <v>9</v>
      </c>
      <c r="H181" s="7">
        <v>743.40840000000003</v>
      </c>
      <c r="I181" s="22">
        <v>222867.42080000002</v>
      </c>
      <c r="J181" s="22" t="s">
        <v>4</v>
      </c>
      <c r="K181" s="22"/>
      <c r="L181" s="3" t="s">
        <v>508</v>
      </c>
      <c r="M181" s="3" t="s">
        <v>179</v>
      </c>
      <c r="N181" s="9" t="s">
        <v>471</v>
      </c>
      <c r="O181" s="10" t="s">
        <v>472</v>
      </c>
      <c r="P181" s="4">
        <f t="shared" si="25"/>
        <v>73</v>
      </c>
      <c r="Q181" s="4" t="str">
        <f t="shared" si="24"/>
        <v>65+</v>
      </c>
      <c r="R181" s="11">
        <v>1933</v>
      </c>
      <c r="S181" s="4">
        <v>5</v>
      </c>
      <c r="T181" s="4">
        <v>5</v>
      </c>
      <c r="U181" s="3" t="s">
        <v>177</v>
      </c>
      <c r="V181" s="3" t="s">
        <v>5</v>
      </c>
      <c r="W181" s="3" t="s">
        <v>13</v>
      </c>
      <c r="X181" s="3" t="s">
        <v>34</v>
      </c>
      <c r="Y181" s="4">
        <v>5</v>
      </c>
      <c r="Z181" s="3" t="s">
        <v>36</v>
      </c>
      <c r="AA181" s="3" t="s">
        <v>39</v>
      </c>
    </row>
    <row r="182" spans="2:27" ht="14.25" customHeight="1" x14ac:dyDescent="0.3">
      <c r="B182" s="34">
        <f t="shared" si="23"/>
        <v>3052</v>
      </c>
      <c r="C182" s="4">
        <v>3</v>
      </c>
      <c r="D182" s="4">
        <v>2006</v>
      </c>
      <c r="E182" s="14">
        <v>3</v>
      </c>
      <c r="F182" s="3" t="s">
        <v>1</v>
      </c>
      <c r="G182" s="4">
        <v>52</v>
      </c>
      <c r="H182" s="7">
        <v>923.20799999999997</v>
      </c>
      <c r="I182" s="22">
        <v>291494.36</v>
      </c>
      <c r="J182" s="22" t="s">
        <v>4</v>
      </c>
      <c r="K182" s="22"/>
      <c r="L182" s="3" t="s">
        <v>172</v>
      </c>
      <c r="M182" s="3" t="s">
        <v>179</v>
      </c>
      <c r="N182" s="9" t="s">
        <v>282</v>
      </c>
      <c r="O182" s="10" t="s">
        <v>283</v>
      </c>
      <c r="P182" s="4">
        <f t="shared" si="25"/>
        <v>73</v>
      </c>
      <c r="Q182" s="4" t="str">
        <f t="shared" si="24"/>
        <v>65+</v>
      </c>
      <c r="R182" s="11">
        <v>1933</v>
      </c>
      <c r="S182" s="4">
        <v>6</v>
      </c>
      <c r="T182" s="4">
        <v>8</v>
      </c>
      <c r="U182" s="3" t="s">
        <v>175</v>
      </c>
      <c r="V182" s="3" t="s">
        <v>5</v>
      </c>
      <c r="W182" s="3" t="s">
        <v>13</v>
      </c>
      <c r="X182" s="3" t="s">
        <v>33</v>
      </c>
      <c r="Y182" s="4">
        <v>4</v>
      </c>
      <c r="Z182" s="3" t="s">
        <v>36</v>
      </c>
      <c r="AA182" s="3" t="s">
        <v>39</v>
      </c>
    </row>
    <row r="183" spans="2:27" ht="14.25" customHeight="1" x14ac:dyDescent="0.3">
      <c r="B183" s="34">
        <f t="shared" si="23"/>
        <v>3025</v>
      </c>
      <c r="C183" s="4">
        <v>3</v>
      </c>
      <c r="D183" s="4">
        <v>2007</v>
      </c>
      <c r="E183" s="12">
        <v>6</v>
      </c>
      <c r="F183" s="3" t="s">
        <v>1</v>
      </c>
      <c r="G183" s="4">
        <v>25</v>
      </c>
      <c r="H183" s="7">
        <v>923.20799999999997</v>
      </c>
      <c r="I183" s="22">
        <v>296483.14399999997</v>
      </c>
      <c r="J183" s="22" t="s">
        <v>4</v>
      </c>
      <c r="K183" s="22"/>
      <c r="L183" s="3" t="s">
        <v>126</v>
      </c>
      <c r="M183" s="3" t="s">
        <v>179</v>
      </c>
      <c r="N183" s="9" t="s">
        <v>401</v>
      </c>
      <c r="O183" s="10" t="s">
        <v>402</v>
      </c>
      <c r="P183" s="4">
        <f t="shared" si="25"/>
        <v>76</v>
      </c>
      <c r="Q183" s="4" t="str">
        <f t="shared" si="24"/>
        <v>65+</v>
      </c>
      <c r="R183" s="11">
        <v>1931</v>
      </c>
      <c r="S183" s="4">
        <v>2</v>
      </c>
      <c r="T183" s="4">
        <v>13</v>
      </c>
      <c r="U183" s="3" t="s">
        <v>177</v>
      </c>
      <c r="V183" s="3" t="s">
        <v>5</v>
      </c>
      <c r="W183" s="3" t="s">
        <v>15</v>
      </c>
      <c r="X183" s="3" t="s">
        <v>33</v>
      </c>
      <c r="Y183" s="4">
        <v>3</v>
      </c>
      <c r="Z183" s="3" t="s">
        <v>35</v>
      </c>
      <c r="AA183" s="3" t="s">
        <v>525</v>
      </c>
    </row>
    <row r="184" spans="2:27" ht="14.25" customHeight="1" x14ac:dyDescent="0.3">
      <c r="B184" s="34">
        <v>5052</v>
      </c>
      <c r="C184" s="18">
        <v>5</v>
      </c>
      <c r="D184" s="4"/>
      <c r="E184" s="4"/>
      <c r="F184" s="3" t="s">
        <v>1</v>
      </c>
      <c r="G184" s="5" t="str">
        <f>RIGHT(B184,2)</f>
        <v>52</v>
      </c>
      <c r="H184" s="7">
        <v>1769.4819999999997</v>
      </c>
      <c r="I184" s="16">
        <v>532877.38399999996</v>
      </c>
      <c r="J184" s="16"/>
      <c r="K184" s="16"/>
      <c r="L184" s="4"/>
      <c r="M184" s="4"/>
      <c r="P184" s="4" t="str">
        <f t="shared" si="25"/>
        <v xml:space="preserve"> </v>
      </c>
      <c r="Q184" s="4"/>
      <c r="R184" s="4"/>
      <c r="S184" s="4"/>
      <c r="T184" s="4"/>
      <c r="U184" s="3"/>
      <c r="V184" s="3"/>
      <c r="W184" s="3"/>
      <c r="X184" s="3"/>
      <c r="Y184" s="3"/>
      <c r="Z184" s="3"/>
      <c r="AA184" s="3"/>
    </row>
    <row r="185" spans="2:27" ht="14.25" customHeight="1" x14ac:dyDescent="0.3">
      <c r="B185" s="34">
        <f>C185*1000+G185</f>
        <v>1005</v>
      </c>
      <c r="C185" s="4">
        <v>1</v>
      </c>
      <c r="D185" s="4">
        <v>2004</v>
      </c>
      <c r="E185" s="4">
        <v>3</v>
      </c>
      <c r="F185" s="3" t="s">
        <v>0</v>
      </c>
      <c r="G185" s="5">
        <v>5</v>
      </c>
      <c r="H185" s="7">
        <v>410.70920000000001</v>
      </c>
      <c r="I185" s="22">
        <v>117564.0716</v>
      </c>
      <c r="J185" s="22" t="s">
        <v>4</v>
      </c>
      <c r="K185" s="22"/>
      <c r="L185" s="3" t="s">
        <v>497</v>
      </c>
      <c r="M185" s="3" t="s">
        <v>180</v>
      </c>
      <c r="N185" s="38" t="s">
        <v>498</v>
      </c>
      <c r="O185" s="38" t="s">
        <v>479</v>
      </c>
      <c r="P185" s="1" t="s">
        <v>531</v>
      </c>
      <c r="Q185" s="1" t="s">
        <v>531</v>
      </c>
      <c r="R185" s="1" t="s">
        <v>531</v>
      </c>
      <c r="S185" s="36"/>
      <c r="T185" s="36"/>
      <c r="U185" s="1" t="s">
        <v>531</v>
      </c>
      <c r="V185" s="3" t="s">
        <v>5</v>
      </c>
      <c r="W185" s="3" t="s">
        <v>13</v>
      </c>
      <c r="X185" s="3" t="s">
        <v>34</v>
      </c>
      <c r="Y185" s="4">
        <v>5</v>
      </c>
      <c r="Z185" s="3" t="s">
        <v>35</v>
      </c>
      <c r="AA185" s="3" t="s">
        <v>39</v>
      </c>
    </row>
    <row r="186" spans="2:27" ht="14.25" customHeight="1" x14ac:dyDescent="0.3">
      <c r="B186" s="34">
        <v>1009</v>
      </c>
      <c r="C186" s="4">
        <v>1</v>
      </c>
      <c r="D186" s="4">
        <v>2004</v>
      </c>
      <c r="E186" s="4">
        <v>11</v>
      </c>
      <c r="F186" s="3" t="s">
        <v>0</v>
      </c>
      <c r="G186" s="5">
        <v>9</v>
      </c>
      <c r="H186" s="7">
        <v>1200.82</v>
      </c>
      <c r="I186" s="22">
        <v>317196.39999999997</v>
      </c>
      <c r="J186" s="22" t="s">
        <v>4</v>
      </c>
      <c r="K186" s="22"/>
      <c r="L186" s="3" t="s">
        <v>47</v>
      </c>
      <c r="M186" s="3" t="s">
        <v>180</v>
      </c>
      <c r="N186" s="9" t="s">
        <v>480</v>
      </c>
      <c r="O186" s="10" t="s">
        <v>479</v>
      </c>
      <c r="P186" s="1" t="s">
        <v>531</v>
      </c>
      <c r="Q186" s="1" t="s">
        <v>531</v>
      </c>
      <c r="R186" s="1" t="s">
        <v>531</v>
      </c>
      <c r="S186" s="1"/>
      <c r="T186" s="1"/>
      <c r="U186" s="1" t="s">
        <v>531</v>
      </c>
      <c r="V186" s="3" t="s">
        <v>5</v>
      </c>
      <c r="W186" s="3" t="s">
        <v>14</v>
      </c>
      <c r="X186" s="3" t="s">
        <v>34</v>
      </c>
      <c r="Y186" s="4">
        <v>5</v>
      </c>
      <c r="Z186" s="3" t="s">
        <v>35</v>
      </c>
      <c r="AA186" s="3" t="s">
        <v>525</v>
      </c>
    </row>
    <row r="187" spans="2:27" ht="14.25" customHeight="1" x14ac:dyDescent="0.3">
      <c r="B187" s="34">
        <v>1009</v>
      </c>
      <c r="C187" s="4">
        <v>1</v>
      </c>
      <c r="D187" s="4">
        <v>2004</v>
      </c>
      <c r="E187" s="4">
        <v>11</v>
      </c>
      <c r="F187" s="3" t="s">
        <v>0</v>
      </c>
      <c r="G187" s="5">
        <v>10</v>
      </c>
      <c r="H187" s="7">
        <v>800.96</v>
      </c>
      <c r="I187" s="22">
        <v>264142.16000000003</v>
      </c>
      <c r="J187" s="22" t="s">
        <v>4</v>
      </c>
      <c r="K187" s="22"/>
      <c r="L187" s="3" t="s">
        <v>47</v>
      </c>
      <c r="M187" s="3" t="s">
        <v>180</v>
      </c>
      <c r="N187" s="9" t="s">
        <v>480</v>
      </c>
      <c r="O187" s="10" t="s">
        <v>479</v>
      </c>
      <c r="P187" s="1" t="s">
        <v>531</v>
      </c>
      <c r="Q187" s="1" t="s">
        <v>531</v>
      </c>
      <c r="R187" s="1" t="s">
        <v>531</v>
      </c>
      <c r="S187" s="1"/>
      <c r="T187" s="1"/>
      <c r="U187" s="1" t="s">
        <v>531</v>
      </c>
      <c r="V187" s="3" t="s">
        <v>5</v>
      </c>
      <c r="W187" s="3" t="s">
        <v>14</v>
      </c>
      <c r="X187" s="3" t="s">
        <v>34</v>
      </c>
      <c r="Y187" s="4">
        <v>4</v>
      </c>
      <c r="Z187" s="3" t="s">
        <v>35</v>
      </c>
      <c r="AA187" s="3" t="s">
        <v>525</v>
      </c>
    </row>
    <row r="188" spans="2:27" ht="14.25" customHeight="1" x14ac:dyDescent="0.3">
      <c r="B188" s="34">
        <f t="shared" ref="B188:B201" si="26">C188*1000+G188</f>
        <v>1011</v>
      </c>
      <c r="C188" s="4">
        <v>1</v>
      </c>
      <c r="D188" s="4">
        <v>2005</v>
      </c>
      <c r="E188" s="4">
        <v>9</v>
      </c>
      <c r="F188" s="3" t="s">
        <v>0</v>
      </c>
      <c r="G188" s="5">
        <v>11</v>
      </c>
      <c r="H188" s="7">
        <v>827.87439999999992</v>
      </c>
      <c r="I188" s="22">
        <v>222947.20879999999</v>
      </c>
      <c r="J188" s="22" t="s">
        <v>4</v>
      </c>
      <c r="K188" s="22"/>
      <c r="L188" s="3" t="s">
        <v>60</v>
      </c>
      <c r="M188" s="3" t="s">
        <v>180</v>
      </c>
      <c r="N188" s="11" t="s">
        <v>214</v>
      </c>
      <c r="O188" s="11" t="s">
        <v>479</v>
      </c>
      <c r="P188" s="1" t="s">
        <v>531</v>
      </c>
      <c r="Q188" s="1" t="s">
        <v>531</v>
      </c>
      <c r="R188" s="1" t="s">
        <v>531</v>
      </c>
      <c r="S188" s="1"/>
      <c r="T188" s="1"/>
      <c r="U188" s="1" t="s">
        <v>531</v>
      </c>
      <c r="V188" s="3" t="s">
        <v>5</v>
      </c>
      <c r="W188" s="3" t="s">
        <v>14</v>
      </c>
      <c r="X188" s="3" t="s">
        <v>34</v>
      </c>
      <c r="Y188" s="4">
        <v>5</v>
      </c>
      <c r="Z188" s="3" t="s">
        <v>36</v>
      </c>
      <c r="AA188" s="3" t="s">
        <v>525</v>
      </c>
    </row>
    <row r="189" spans="2:27" ht="14.25" customHeight="1" x14ac:dyDescent="0.3">
      <c r="B189" s="34">
        <f t="shared" si="26"/>
        <v>1007</v>
      </c>
      <c r="C189" s="4">
        <v>1</v>
      </c>
      <c r="D189" s="4">
        <v>2005</v>
      </c>
      <c r="E189" s="4">
        <v>12</v>
      </c>
      <c r="F189" s="3" t="s">
        <v>1</v>
      </c>
      <c r="G189" s="5">
        <v>7</v>
      </c>
      <c r="H189" s="7">
        <v>775.6884</v>
      </c>
      <c r="I189" s="22">
        <v>250312.5344</v>
      </c>
      <c r="J189" s="22" t="s">
        <v>4</v>
      </c>
      <c r="K189" s="22"/>
      <c r="L189" s="3" t="s">
        <v>63</v>
      </c>
      <c r="M189" s="3" t="s">
        <v>180</v>
      </c>
      <c r="N189" s="11" t="s">
        <v>227</v>
      </c>
      <c r="O189" s="11" t="s">
        <v>479</v>
      </c>
      <c r="P189" s="1" t="s">
        <v>531</v>
      </c>
      <c r="Q189" s="1" t="s">
        <v>531</v>
      </c>
      <c r="R189" s="1" t="s">
        <v>531</v>
      </c>
      <c r="S189" s="1"/>
      <c r="T189" s="1"/>
      <c r="U189" s="1" t="s">
        <v>531</v>
      </c>
      <c r="V189" s="3" t="s">
        <v>5</v>
      </c>
      <c r="W189" s="3" t="s">
        <v>14</v>
      </c>
      <c r="X189" s="3" t="s">
        <v>34</v>
      </c>
      <c r="Y189" s="4">
        <v>1</v>
      </c>
      <c r="Z189" s="3" t="s">
        <v>36</v>
      </c>
      <c r="AA189" s="3" t="s">
        <v>525</v>
      </c>
    </row>
    <row r="190" spans="2:27" ht="14.25" customHeight="1" x14ac:dyDescent="0.3">
      <c r="B190" s="34">
        <f t="shared" si="26"/>
        <v>1008</v>
      </c>
      <c r="C190" s="4">
        <v>1</v>
      </c>
      <c r="D190" s="4">
        <v>2005</v>
      </c>
      <c r="E190" s="4">
        <v>12</v>
      </c>
      <c r="F190" s="3" t="s">
        <v>0</v>
      </c>
      <c r="G190" s="5">
        <v>8</v>
      </c>
      <c r="H190" s="7">
        <v>775.6884</v>
      </c>
      <c r="I190" s="22">
        <v>246050.40400000001</v>
      </c>
      <c r="J190" s="22" t="s">
        <v>4</v>
      </c>
      <c r="K190" s="22"/>
      <c r="L190" s="3" t="s">
        <v>63</v>
      </c>
      <c r="M190" s="3" t="s">
        <v>180</v>
      </c>
      <c r="N190" s="11" t="s">
        <v>227</v>
      </c>
      <c r="O190" s="11" t="s">
        <v>479</v>
      </c>
      <c r="P190" s="1" t="s">
        <v>531</v>
      </c>
      <c r="Q190" s="1" t="s">
        <v>531</v>
      </c>
      <c r="R190" s="1" t="s">
        <v>531</v>
      </c>
      <c r="S190" s="1"/>
      <c r="T190" s="1"/>
      <c r="U190" s="1" t="s">
        <v>531</v>
      </c>
      <c r="V190" s="3" t="s">
        <v>5</v>
      </c>
      <c r="W190" s="3" t="s">
        <v>13</v>
      </c>
      <c r="X190" s="3" t="s">
        <v>34</v>
      </c>
      <c r="Y190" s="4">
        <v>1</v>
      </c>
      <c r="Z190" s="3" t="s">
        <v>36</v>
      </c>
      <c r="AA190" s="3" t="s">
        <v>525</v>
      </c>
    </row>
    <row r="191" spans="2:27" ht="14.25" customHeight="1" x14ac:dyDescent="0.3">
      <c r="B191" s="34">
        <f t="shared" si="26"/>
        <v>2038</v>
      </c>
      <c r="C191" s="4">
        <v>2</v>
      </c>
      <c r="D191" s="4">
        <v>2006</v>
      </c>
      <c r="E191" s="4">
        <v>10</v>
      </c>
      <c r="F191" s="3" t="s">
        <v>1</v>
      </c>
      <c r="G191" s="5">
        <v>38</v>
      </c>
      <c r="H191" s="7">
        <v>1604.7463999999998</v>
      </c>
      <c r="I191" s="22">
        <v>529317.28319999995</v>
      </c>
      <c r="J191" s="22" t="s">
        <v>4</v>
      </c>
      <c r="K191" s="22"/>
      <c r="L191" s="3" t="s">
        <v>87</v>
      </c>
      <c r="M191" s="3" t="s">
        <v>180</v>
      </c>
      <c r="N191" s="11" t="s">
        <v>481</v>
      </c>
      <c r="O191" s="11" t="s">
        <v>479</v>
      </c>
      <c r="P191" s="1" t="s">
        <v>531</v>
      </c>
      <c r="Q191" s="1" t="s">
        <v>531</v>
      </c>
      <c r="R191" s="1" t="s">
        <v>531</v>
      </c>
      <c r="S191" s="1"/>
      <c r="T191" s="1"/>
      <c r="U191" s="1" t="s">
        <v>531</v>
      </c>
      <c r="V191" s="3" t="s">
        <v>5</v>
      </c>
      <c r="W191" s="3" t="s">
        <v>13</v>
      </c>
      <c r="X191" s="3" t="s">
        <v>34</v>
      </c>
      <c r="Y191" s="4">
        <v>5</v>
      </c>
      <c r="Z191" s="3" t="s">
        <v>35</v>
      </c>
      <c r="AA191" s="3" t="s">
        <v>525</v>
      </c>
    </row>
    <row r="192" spans="2:27" ht="14.25" customHeight="1" x14ac:dyDescent="0.3">
      <c r="B192" s="34">
        <f t="shared" si="26"/>
        <v>2001</v>
      </c>
      <c r="C192" s="4">
        <v>2</v>
      </c>
      <c r="D192" s="4">
        <v>2004</v>
      </c>
      <c r="E192" s="4">
        <v>3</v>
      </c>
      <c r="F192" s="3" t="s">
        <v>1</v>
      </c>
      <c r="G192" s="5">
        <v>1</v>
      </c>
      <c r="H192" s="7">
        <v>587.2808</v>
      </c>
      <c r="I192" s="22">
        <v>169158.29440000001</v>
      </c>
      <c r="J192" s="22" t="s">
        <v>4</v>
      </c>
      <c r="K192" s="22"/>
      <c r="L192" s="3" t="s">
        <v>503</v>
      </c>
      <c r="M192" s="3" t="s">
        <v>180</v>
      </c>
      <c r="N192" s="11" t="s">
        <v>409</v>
      </c>
      <c r="O192" s="11" t="s">
        <v>479</v>
      </c>
      <c r="P192" s="1" t="s">
        <v>531</v>
      </c>
      <c r="Q192" s="1" t="s">
        <v>531</v>
      </c>
      <c r="R192" s="1" t="s">
        <v>531</v>
      </c>
      <c r="S192" s="1"/>
      <c r="T192" s="1"/>
      <c r="U192" s="1" t="s">
        <v>531</v>
      </c>
      <c r="V192" s="3" t="s">
        <v>5</v>
      </c>
      <c r="W192" s="3" t="s">
        <v>13</v>
      </c>
      <c r="X192" s="3" t="s">
        <v>33</v>
      </c>
      <c r="Y192" s="4">
        <v>3</v>
      </c>
      <c r="Z192" s="3" t="s">
        <v>36</v>
      </c>
      <c r="AA192" s="11" t="s">
        <v>525</v>
      </c>
    </row>
    <row r="193" spans="2:27" ht="14.25" customHeight="1" x14ac:dyDescent="0.3">
      <c r="B193" s="34">
        <f t="shared" si="26"/>
        <v>1013</v>
      </c>
      <c r="C193" s="4">
        <v>1</v>
      </c>
      <c r="D193" s="4">
        <v>2005</v>
      </c>
      <c r="E193" s="4">
        <v>7</v>
      </c>
      <c r="F193" s="3" t="s">
        <v>1</v>
      </c>
      <c r="G193" s="5">
        <v>13</v>
      </c>
      <c r="H193" s="7">
        <v>756.21280000000002</v>
      </c>
      <c r="I193" s="22">
        <v>206958.712</v>
      </c>
      <c r="J193" s="22" t="s">
        <v>4</v>
      </c>
      <c r="K193" s="22"/>
      <c r="L193" s="3" t="s">
        <v>173</v>
      </c>
      <c r="M193" s="3" t="s">
        <v>180</v>
      </c>
      <c r="N193" s="11" t="s">
        <v>518</v>
      </c>
      <c r="O193" s="11" t="s">
        <v>479</v>
      </c>
      <c r="P193" s="1" t="s">
        <v>531</v>
      </c>
      <c r="Q193" s="1" t="s">
        <v>531</v>
      </c>
      <c r="R193" s="1" t="s">
        <v>531</v>
      </c>
      <c r="S193" s="1"/>
      <c r="T193" s="1"/>
      <c r="U193" s="1" t="s">
        <v>531</v>
      </c>
      <c r="V193" s="3" t="s">
        <v>5</v>
      </c>
      <c r="W193" s="3" t="s">
        <v>13</v>
      </c>
      <c r="X193" s="3" t="s">
        <v>34</v>
      </c>
      <c r="Y193" s="4">
        <v>5</v>
      </c>
      <c r="Z193" s="3" t="s">
        <v>35</v>
      </c>
      <c r="AA193" s="3" t="s">
        <v>525</v>
      </c>
    </row>
    <row r="194" spans="2:27" ht="14.25" customHeight="1" x14ac:dyDescent="0.3">
      <c r="B194" s="34">
        <f t="shared" si="26"/>
        <v>1014</v>
      </c>
      <c r="C194" s="4">
        <v>1</v>
      </c>
      <c r="D194" s="4">
        <v>2005</v>
      </c>
      <c r="E194" s="4">
        <v>7</v>
      </c>
      <c r="F194" s="3" t="s">
        <v>1</v>
      </c>
      <c r="G194" s="5">
        <v>14</v>
      </c>
      <c r="H194" s="7">
        <v>743.0856</v>
      </c>
      <c r="I194" s="22">
        <v>206445.42319999999</v>
      </c>
      <c r="J194" s="22" t="s">
        <v>4</v>
      </c>
      <c r="K194" s="22"/>
      <c r="L194" s="3" t="s">
        <v>173</v>
      </c>
      <c r="M194" s="3" t="s">
        <v>180</v>
      </c>
      <c r="N194" s="11" t="s">
        <v>518</v>
      </c>
      <c r="O194" s="11" t="s">
        <v>479</v>
      </c>
      <c r="P194" s="1" t="s">
        <v>531</v>
      </c>
      <c r="Q194" s="1" t="s">
        <v>531</v>
      </c>
      <c r="R194" s="1" t="s">
        <v>531</v>
      </c>
      <c r="S194" s="1"/>
      <c r="T194" s="1"/>
      <c r="U194" s="1" t="s">
        <v>531</v>
      </c>
      <c r="V194" s="3" t="s">
        <v>5</v>
      </c>
      <c r="W194" s="3" t="s">
        <v>13</v>
      </c>
      <c r="X194" s="3" t="s">
        <v>34</v>
      </c>
      <c r="Y194" s="4">
        <v>5</v>
      </c>
      <c r="Z194" s="3" t="s">
        <v>35</v>
      </c>
      <c r="AA194" s="3" t="s">
        <v>525</v>
      </c>
    </row>
    <row r="195" spans="2:27" ht="14.25" customHeight="1" x14ac:dyDescent="0.3">
      <c r="B195" s="34">
        <f t="shared" si="26"/>
        <v>1019</v>
      </c>
      <c r="C195" s="4">
        <v>1</v>
      </c>
      <c r="D195" s="4">
        <v>2005</v>
      </c>
      <c r="E195" s="4">
        <v>7</v>
      </c>
      <c r="F195" s="3" t="s">
        <v>1</v>
      </c>
      <c r="G195" s="5">
        <v>19</v>
      </c>
      <c r="H195" s="7">
        <v>827.87439999999992</v>
      </c>
      <c r="I195" s="22">
        <v>239341.58079999997</v>
      </c>
      <c r="J195" s="22" t="s">
        <v>4</v>
      </c>
      <c r="K195" s="22"/>
      <c r="L195" s="3" t="s">
        <v>173</v>
      </c>
      <c r="M195" s="3" t="s">
        <v>180</v>
      </c>
      <c r="N195" s="11" t="s">
        <v>518</v>
      </c>
      <c r="O195" s="11" t="s">
        <v>479</v>
      </c>
      <c r="P195" s="1" t="s">
        <v>531</v>
      </c>
      <c r="Q195" s="1" t="s">
        <v>531</v>
      </c>
      <c r="R195" s="1" t="s">
        <v>531</v>
      </c>
      <c r="S195" s="1"/>
      <c r="T195" s="1"/>
      <c r="U195" s="1" t="s">
        <v>531</v>
      </c>
      <c r="V195" s="3" t="s">
        <v>5</v>
      </c>
      <c r="W195" s="3" t="s">
        <v>13</v>
      </c>
      <c r="X195" s="3" t="s">
        <v>34</v>
      </c>
      <c r="Y195" s="4">
        <v>5</v>
      </c>
      <c r="Z195" s="3" t="s">
        <v>35</v>
      </c>
      <c r="AA195" s="3" t="s">
        <v>525</v>
      </c>
    </row>
    <row r="196" spans="2:27" ht="14.25" customHeight="1" x14ac:dyDescent="0.3">
      <c r="B196" s="34">
        <f t="shared" si="26"/>
        <v>1020</v>
      </c>
      <c r="C196" s="4">
        <v>1</v>
      </c>
      <c r="D196" s="4">
        <v>2005</v>
      </c>
      <c r="E196" s="4">
        <v>7</v>
      </c>
      <c r="F196" s="3" t="s">
        <v>1</v>
      </c>
      <c r="G196" s="5">
        <v>20</v>
      </c>
      <c r="H196" s="7">
        <v>1160.3584000000001</v>
      </c>
      <c r="I196" s="22">
        <v>398903.42240000004</v>
      </c>
      <c r="J196" s="22" t="s">
        <v>4</v>
      </c>
      <c r="K196" s="22"/>
      <c r="L196" s="3" t="s">
        <v>173</v>
      </c>
      <c r="M196" s="3" t="s">
        <v>180</v>
      </c>
      <c r="N196" s="11" t="s">
        <v>518</v>
      </c>
      <c r="O196" s="11" t="s">
        <v>479</v>
      </c>
      <c r="P196" s="1" t="s">
        <v>531</v>
      </c>
      <c r="Q196" s="1" t="s">
        <v>531</v>
      </c>
      <c r="R196" s="1" t="s">
        <v>531</v>
      </c>
      <c r="S196" s="1"/>
      <c r="T196" s="1"/>
      <c r="U196" s="1" t="s">
        <v>531</v>
      </c>
      <c r="V196" s="3" t="s">
        <v>5</v>
      </c>
      <c r="W196" s="3" t="s">
        <v>13</v>
      </c>
      <c r="X196" s="3" t="s">
        <v>34</v>
      </c>
      <c r="Y196" s="4">
        <v>5</v>
      </c>
      <c r="Z196" s="3" t="s">
        <v>35</v>
      </c>
      <c r="AA196" s="3" t="s">
        <v>525</v>
      </c>
    </row>
    <row r="197" spans="2:27" ht="14.25" customHeight="1" x14ac:dyDescent="0.3">
      <c r="B197" s="34">
        <f t="shared" si="26"/>
        <v>1022</v>
      </c>
      <c r="C197" s="4">
        <v>1</v>
      </c>
      <c r="D197" s="4">
        <v>2005</v>
      </c>
      <c r="E197" s="4">
        <v>7</v>
      </c>
      <c r="F197" s="3" t="s">
        <v>1</v>
      </c>
      <c r="G197" s="5">
        <v>22</v>
      </c>
      <c r="H197" s="7">
        <v>743.0856</v>
      </c>
      <c r="I197" s="22">
        <v>210745.16639999999</v>
      </c>
      <c r="J197" s="22" t="s">
        <v>4</v>
      </c>
      <c r="K197" s="22"/>
      <c r="L197" s="3" t="s">
        <v>173</v>
      </c>
      <c r="M197" s="3" t="s">
        <v>180</v>
      </c>
      <c r="N197" s="11" t="s">
        <v>518</v>
      </c>
      <c r="O197" s="11" t="s">
        <v>479</v>
      </c>
      <c r="P197" s="1" t="s">
        <v>531</v>
      </c>
      <c r="Q197" s="1" t="s">
        <v>531</v>
      </c>
      <c r="R197" s="1" t="s">
        <v>531</v>
      </c>
      <c r="S197" s="1"/>
      <c r="T197" s="1"/>
      <c r="U197" s="1" t="s">
        <v>531</v>
      </c>
      <c r="V197" s="3" t="s">
        <v>5</v>
      </c>
      <c r="W197" s="3" t="s">
        <v>13</v>
      </c>
      <c r="X197" s="3" t="s">
        <v>34</v>
      </c>
      <c r="Y197" s="4">
        <v>5</v>
      </c>
      <c r="Z197" s="3" t="s">
        <v>35</v>
      </c>
      <c r="AA197" s="3" t="s">
        <v>525</v>
      </c>
    </row>
    <row r="198" spans="2:27" ht="14.25" customHeight="1" x14ac:dyDescent="0.3">
      <c r="B198" s="34">
        <f t="shared" si="26"/>
        <v>1028</v>
      </c>
      <c r="C198" s="4">
        <v>1</v>
      </c>
      <c r="D198" s="4">
        <v>2005</v>
      </c>
      <c r="E198" s="4">
        <v>7</v>
      </c>
      <c r="F198" s="3" t="s">
        <v>1</v>
      </c>
      <c r="G198" s="5">
        <v>28</v>
      </c>
      <c r="H198" s="7">
        <v>1160.3584000000001</v>
      </c>
      <c r="I198" s="22">
        <v>331154.87840000005</v>
      </c>
      <c r="J198" s="22" t="s">
        <v>4</v>
      </c>
      <c r="K198" s="22"/>
      <c r="L198" s="3" t="s">
        <v>173</v>
      </c>
      <c r="M198" s="3" t="s">
        <v>180</v>
      </c>
      <c r="N198" s="11" t="s">
        <v>518</v>
      </c>
      <c r="O198" s="11" t="s">
        <v>479</v>
      </c>
      <c r="P198" s="1" t="s">
        <v>531</v>
      </c>
      <c r="Q198" s="1" t="s">
        <v>531</v>
      </c>
      <c r="R198" s="1" t="s">
        <v>531</v>
      </c>
      <c r="S198" s="1"/>
      <c r="T198" s="1"/>
      <c r="U198" s="1" t="s">
        <v>531</v>
      </c>
      <c r="V198" s="3" t="s">
        <v>5</v>
      </c>
      <c r="W198" s="3" t="s">
        <v>13</v>
      </c>
      <c r="X198" s="3" t="s">
        <v>34</v>
      </c>
      <c r="Y198" s="4">
        <v>5</v>
      </c>
      <c r="Z198" s="3" t="s">
        <v>35</v>
      </c>
      <c r="AA198" s="3" t="s">
        <v>525</v>
      </c>
    </row>
    <row r="199" spans="2:27" ht="14.25" customHeight="1" x14ac:dyDescent="0.3">
      <c r="B199" s="34">
        <f t="shared" si="26"/>
        <v>1034</v>
      </c>
      <c r="C199" s="4">
        <v>1</v>
      </c>
      <c r="D199" s="4">
        <v>2005</v>
      </c>
      <c r="E199" s="4">
        <v>7</v>
      </c>
      <c r="F199" s="3" t="s">
        <v>1</v>
      </c>
      <c r="G199" s="5">
        <v>34</v>
      </c>
      <c r="H199" s="7">
        <v>625.80160000000001</v>
      </c>
      <c r="I199" s="22">
        <v>204434.6784</v>
      </c>
      <c r="J199" s="22" t="s">
        <v>4</v>
      </c>
      <c r="K199" s="22"/>
      <c r="L199" s="3" t="s">
        <v>173</v>
      </c>
      <c r="M199" s="3" t="s">
        <v>180</v>
      </c>
      <c r="N199" s="11" t="s">
        <v>518</v>
      </c>
      <c r="O199" s="11" t="s">
        <v>479</v>
      </c>
      <c r="P199" s="1" t="s">
        <v>531</v>
      </c>
      <c r="Q199" s="1" t="s">
        <v>531</v>
      </c>
      <c r="R199" s="1" t="s">
        <v>531</v>
      </c>
      <c r="S199" s="1"/>
      <c r="T199" s="1"/>
      <c r="U199" s="1" t="s">
        <v>531</v>
      </c>
      <c r="V199" s="3" t="s">
        <v>5</v>
      </c>
      <c r="W199" s="3" t="s">
        <v>13</v>
      </c>
      <c r="X199" s="3" t="s">
        <v>34</v>
      </c>
      <c r="Y199" s="4">
        <v>5</v>
      </c>
      <c r="Z199" s="3" t="s">
        <v>35</v>
      </c>
      <c r="AA199" s="3" t="s">
        <v>525</v>
      </c>
    </row>
    <row r="200" spans="2:27" ht="14.25" customHeight="1" x14ac:dyDescent="0.3">
      <c r="B200" s="34">
        <f t="shared" si="26"/>
        <v>1037</v>
      </c>
      <c r="C200" s="4">
        <v>1</v>
      </c>
      <c r="D200" s="4">
        <v>2005</v>
      </c>
      <c r="E200" s="4">
        <v>7</v>
      </c>
      <c r="F200" s="3" t="s">
        <v>1</v>
      </c>
      <c r="G200" s="5">
        <v>37</v>
      </c>
      <c r="H200" s="7">
        <v>756.21280000000002</v>
      </c>
      <c r="I200" s="22">
        <v>189194.30720000001</v>
      </c>
      <c r="J200" s="22" t="s">
        <v>4</v>
      </c>
      <c r="K200" s="22"/>
      <c r="L200" s="3" t="s">
        <v>173</v>
      </c>
      <c r="M200" s="3" t="s">
        <v>180</v>
      </c>
      <c r="N200" s="11" t="s">
        <v>518</v>
      </c>
      <c r="O200" s="11" t="s">
        <v>479</v>
      </c>
      <c r="P200" s="1" t="s">
        <v>531</v>
      </c>
      <c r="Q200" s="1" t="s">
        <v>531</v>
      </c>
      <c r="R200" s="1" t="s">
        <v>531</v>
      </c>
      <c r="S200" s="1"/>
      <c r="T200" s="1"/>
      <c r="U200" s="1" t="s">
        <v>531</v>
      </c>
      <c r="V200" s="3" t="s">
        <v>5</v>
      </c>
      <c r="W200" s="3" t="s">
        <v>13</v>
      </c>
      <c r="X200" s="3" t="s">
        <v>34</v>
      </c>
      <c r="Y200" s="4">
        <v>5</v>
      </c>
      <c r="Z200" s="3" t="s">
        <v>35</v>
      </c>
      <c r="AA200" s="3" t="s">
        <v>525</v>
      </c>
    </row>
    <row r="201" spans="2:27" ht="14.25" customHeight="1" x14ac:dyDescent="0.3">
      <c r="B201" s="34">
        <f t="shared" si="26"/>
        <v>1042</v>
      </c>
      <c r="C201" s="4">
        <v>1</v>
      </c>
      <c r="D201" s="4">
        <v>2005</v>
      </c>
      <c r="E201" s="4">
        <v>7</v>
      </c>
      <c r="F201" s="3" t="s">
        <v>1</v>
      </c>
      <c r="G201" s="5">
        <v>42</v>
      </c>
      <c r="H201" s="7">
        <v>625.80160000000001</v>
      </c>
      <c r="I201" s="22">
        <v>204027.0912</v>
      </c>
      <c r="J201" s="22" t="s">
        <v>4</v>
      </c>
      <c r="K201" s="22"/>
      <c r="L201" s="3" t="s">
        <v>173</v>
      </c>
      <c r="M201" s="3" t="s">
        <v>180</v>
      </c>
      <c r="N201" s="11" t="s">
        <v>518</v>
      </c>
      <c r="O201" s="11" t="s">
        <v>479</v>
      </c>
      <c r="P201" s="1" t="s">
        <v>531</v>
      </c>
      <c r="Q201" s="1" t="s">
        <v>531</v>
      </c>
      <c r="R201" s="1" t="s">
        <v>531</v>
      </c>
      <c r="S201" s="1"/>
      <c r="T201" s="1"/>
      <c r="U201" s="1" t="s">
        <v>531</v>
      </c>
      <c r="V201" s="3" t="s">
        <v>5</v>
      </c>
      <c r="W201" s="3" t="s">
        <v>13</v>
      </c>
      <c r="X201" s="3" t="s">
        <v>34</v>
      </c>
      <c r="Y201" s="4">
        <v>5</v>
      </c>
      <c r="Z201" s="3" t="s">
        <v>35</v>
      </c>
      <c r="AA201" s="3" t="s">
        <v>525</v>
      </c>
    </row>
    <row r="202" spans="2:27" ht="14.25" customHeight="1" x14ac:dyDescent="0.3">
      <c r="B202" s="34">
        <v>1002</v>
      </c>
      <c r="C202" s="18">
        <v>1</v>
      </c>
      <c r="D202" s="4"/>
      <c r="E202" s="4"/>
      <c r="F202" s="3" t="s">
        <v>1</v>
      </c>
      <c r="G202" s="5">
        <v>2</v>
      </c>
      <c r="H202" s="7">
        <v>1238.5835999999999</v>
      </c>
      <c r="I202" s="16">
        <v>400865.91599999997</v>
      </c>
      <c r="J202" s="16"/>
      <c r="K202" s="16"/>
      <c r="L202" s="4"/>
      <c r="M202" s="4"/>
      <c r="N202" s="2"/>
      <c r="O202" s="3"/>
      <c r="P202" s="11"/>
      <c r="Q202" s="4"/>
      <c r="R202" s="7"/>
      <c r="S202" s="17"/>
      <c r="T202" s="4"/>
      <c r="U202" s="3"/>
      <c r="V202" s="3"/>
      <c r="W202" s="3"/>
      <c r="X202" s="3"/>
      <c r="Y202" s="3"/>
      <c r="Z202" s="3"/>
      <c r="AA202" s="3"/>
    </row>
    <row r="203" spans="2:27" ht="14.25" customHeight="1" x14ac:dyDescent="0.3">
      <c r="B203" s="34">
        <v>1003</v>
      </c>
      <c r="C203" s="18">
        <v>1</v>
      </c>
      <c r="D203" s="4"/>
      <c r="E203" s="4"/>
      <c r="F203" s="3" t="s">
        <v>0</v>
      </c>
      <c r="G203" s="5">
        <v>3</v>
      </c>
      <c r="H203" s="7">
        <v>713.71079999999995</v>
      </c>
      <c r="I203" s="16">
        <v>217787.71039999998</v>
      </c>
      <c r="J203" s="16"/>
      <c r="K203" s="16"/>
      <c r="L203" s="4"/>
      <c r="M203" s="4"/>
      <c r="N203" s="2"/>
      <c r="O203" s="3"/>
      <c r="P203" s="11"/>
      <c r="Q203" s="4"/>
      <c r="R203" s="7"/>
      <c r="S203" s="17"/>
      <c r="T203" s="4"/>
      <c r="U203" s="3"/>
      <c r="V203" s="3"/>
      <c r="W203" s="3"/>
      <c r="X203" s="3"/>
      <c r="Y203" s="3"/>
      <c r="Z203" s="3"/>
      <c r="AA203" s="3"/>
    </row>
    <row r="204" spans="2:27" ht="14.25" customHeight="1" x14ac:dyDescent="0.3">
      <c r="B204" s="34">
        <v>1008</v>
      </c>
      <c r="C204" s="18">
        <v>1</v>
      </c>
      <c r="D204" s="4"/>
      <c r="E204" s="4"/>
      <c r="F204" s="3" t="s">
        <v>1</v>
      </c>
      <c r="G204" s="5">
        <v>8</v>
      </c>
      <c r="H204" s="7">
        <v>763.20680000000004</v>
      </c>
      <c r="I204" s="16">
        <v>219630.90120000002</v>
      </c>
      <c r="J204" s="16"/>
      <c r="K204" s="16"/>
      <c r="L204" s="4"/>
      <c r="M204" s="4"/>
      <c r="N204" s="2"/>
      <c r="O204" s="3"/>
      <c r="P204" s="11"/>
      <c r="Q204" s="4"/>
      <c r="R204" s="7"/>
      <c r="S204" s="17"/>
      <c r="T204" s="4"/>
      <c r="U204" s="3"/>
      <c r="V204" s="3"/>
      <c r="W204" s="3"/>
      <c r="X204" s="3"/>
      <c r="Y204" s="3"/>
      <c r="Z204" s="3"/>
      <c r="AA204" s="3"/>
    </row>
    <row r="205" spans="2:27" ht="14.25" customHeight="1" x14ac:dyDescent="0.3">
      <c r="B205" s="34">
        <v>1019</v>
      </c>
      <c r="C205" s="18">
        <v>1</v>
      </c>
      <c r="D205" s="4"/>
      <c r="E205" s="4"/>
      <c r="F205" s="3" t="s">
        <v>1</v>
      </c>
      <c r="G205" s="5" t="str">
        <f t="shared" ref="G205:G210" si="27">RIGHT(B205,2)</f>
        <v>19</v>
      </c>
      <c r="H205" s="7">
        <v>798.49959999999987</v>
      </c>
      <c r="I205" s="16">
        <v>244624.87199999997</v>
      </c>
      <c r="J205" s="16"/>
      <c r="K205" s="16"/>
      <c r="L205" s="4"/>
      <c r="M205" s="4"/>
      <c r="N205" s="2"/>
      <c r="O205" s="3"/>
      <c r="P205" s="11"/>
      <c r="Q205" s="4"/>
      <c r="R205" s="7"/>
      <c r="S205" s="17"/>
      <c r="T205" s="4"/>
      <c r="U205" s="3"/>
      <c r="V205" s="3"/>
      <c r="W205" s="3"/>
      <c r="X205" s="3"/>
      <c r="Y205" s="3"/>
      <c r="Z205" s="3"/>
      <c r="AA205" s="3"/>
    </row>
    <row r="206" spans="2:27" ht="14.25" customHeight="1" x14ac:dyDescent="0.3">
      <c r="B206" s="34">
        <v>1042</v>
      </c>
      <c r="C206" s="18">
        <v>1</v>
      </c>
      <c r="D206" s="4"/>
      <c r="E206" s="4"/>
      <c r="F206" s="3" t="s">
        <v>1</v>
      </c>
      <c r="G206" s="5" t="str">
        <f t="shared" si="27"/>
        <v>42</v>
      </c>
      <c r="H206" s="7">
        <v>618.37720000000002</v>
      </c>
      <c r="I206" s="16">
        <v>163162.8792</v>
      </c>
      <c r="J206" s="16"/>
      <c r="K206" s="16"/>
      <c r="L206" s="4"/>
      <c r="M206" s="4"/>
      <c r="N206" s="2"/>
      <c r="O206" s="3"/>
      <c r="P206" s="11"/>
      <c r="Q206" s="4"/>
      <c r="R206" s="7"/>
      <c r="S206" s="17"/>
      <c r="T206" s="4"/>
      <c r="U206" s="3"/>
      <c r="V206" s="3"/>
      <c r="W206" s="3"/>
      <c r="X206" s="3"/>
      <c r="Y206" s="3"/>
      <c r="Z206" s="3"/>
      <c r="AA206" s="3"/>
    </row>
    <row r="207" spans="2:27" ht="14.25" customHeight="1" x14ac:dyDescent="0.3">
      <c r="B207" s="34">
        <v>1047</v>
      </c>
      <c r="C207" s="18">
        <v>1</v>
      </c>
      <c r="D207" s="4"/>
      <c r="F207" s="3" t="s">
        <v>1</v>
      </c>
      <c r="G207" s="5" t="str">
        <f t="shared" si="27"/>
        <v>47</v>
      </c>
      <c r="H207" s="7">
        <v>1479.7152000000001</v>
      </c>
      <c r="I207" s="16">
        <v>401302.81920000003</v>
      </c>
      <c r="J207" s="16"/>
      <c r="K207" s="16"/>
      <c r="L207" s="4"/>
      <c r="M207" s="4"/>
      <c r="P207" s="11"/>
      <c r="Q207" s="4"/>
      <c r="R207" s="7"/>
      <c r="S207" s="17"/>
      <c r="T207" s="4"/>
      <c r="U207" s="3"/>
      <c r="V207" s="3"/>
      <c r="W207" s="3"/>
      <c r="X207" s="3"/>
      <c r="Y207" s="3"/>
      <c r="Z207" s="3"/>
      <c r="AA207" s="3"/>
    </row>
    <row r="208" spans="2:27" ht="14.25" customHeight="1" x14ac:dyDescent="0.3">
      <c r="B208" s="34">
        <v>2045</v>
      </c>
      <c r="C208" s="18">
        <v>2</v>
      </c>
      <c r="D208" s="4"/>
      <c r="F208" s="3" t="s">
        <v>1</v>
      </c>
      <c r="G208" s="5" t="str">
        <f t="shared" si="27"/>
        <v>45</v>
      </c>
      <c r="H208" s="7">
        <v>1603.9931999999999</v>
      </c>
      <c r="I208" s="16">
        <v>538271.73560000001</v>
      </c>
      <c r="J208" s="16"/>
      <c r="K208" s="16"/>
      <c r="L208" s="4"/>
      <c r="M208" s="4"/>
      <c r="P208" s="11"/>
      <c r="Q208" s="4"/>
      <c r="R208" s="7"/>
      <c r="S208" s="17"/>
      <c r="T208" s="4"/>
      <c r="U208" s="3"/>
      <c r="V208" s="3"/>
      <c r="W208" s="3"/>
      <c r="X208" s="3"/>
      <c r="Y208" s="3"/>
      <c r="Z208" s="3"/>
      <c r="AA208" s="3"/>
    </row>
    <row r="209" spans="2:27" ht="14.25" customHeight="1" x14ac:dyDescent="0.3">
      <c r="B209" s="34">
        <v>2052</v>
      </c>
      <c r="C209" s="18">
        <v>2</v>
      </c>
      <c r="D209" s="4"/>
      <c r="E209" s="4"/>
      <c r="F209" s="3" t="s">
        <v>1</v>
      </c>
      <c r="G209" s="5" t="str">
        <f t="shared" si="27"/>
        <v>52</v>
      </c>
      <c r="H209" s="7">
        <v>1615.2912000000001</v>
      </c>
      <c r="I209" s="16">
        <v>461464.99200000003</v>
      </c>
      <c r="J209" s="16"/>
      <c r="K209" s="16"/>
      <c r="L209" s="4"/>
      <c r="M209" s="4"/>
      <c r="P209" s="4"/>
      <c r="Q209" s="4"/>
      <c r="R209" s="4"/>
      <c r="S209" s="4"/>
      <c r="T209" s="4"/>
      <c r="U209" s="3"/>
      <c r="V209" s="3"/>
      <c r="W209" s="3"/>
      <c r="X209" s="3"/>
      <c r="Y209" s="3"/>
      <c r="Z209" s="3"/>
      <c r="AA209" s="3"/>
    </row>
    <row r="210" spans="2:27" ht="14.25" customHeight="1" x14ac:dyDescent="0.3">
      <c r="B210" s="34">
        <v>2053</v>
      </c>
      <c r="C210" s="18">
        <v>2</v>
      </c>
      <c r="D210" s="4"/>
      <c r="E210" s="4"/>
      <c r="F210" s="3" t="s">
        <v>1</v>
      </c>
      <c r="G210" s="5" t="str">
        <f t="shared" si="27"/>
        <v>53</v>
      </c>
      <c r="H210" s="7">
        <v>784.1887999999999</v>
      </c>
      <c r="I210" s="16">
        <v>275812.49280000001</v>
      </c>
      <c r="J210" s="16"/>
      <c r="K210" s="16"/>
      <c r="L210" s="4"/>
      <c r="M210" s="4"/>
      <c r="N210" s="2"/>
      <c r="O210" s="3"/>
      <c r="P210" s="11"/>
      <c r="Q210" s="4"/>
      <c r="R210" s="7"/>
      <c r="S210" s="17"/>
      <c r="T210" s="4"/>
      <c r="U210" s="3"/>
      <c r="V210" s="3"/>
      <c r="W210" s="3"/>
      <c r="X210" s="3"/>
      <c r="Y210" s="3"/>
      <c r="Z210" s="3"/>
      <c r="AA210" s="3"/>
    </row>
    <row r="211" spans="2:27" ht="14.25" customHeight="1" x14ac:dyDescent="0.3">
      <c r="B211" s="34">
        <v>3007</v>
      </c>
      <c r="C211" s="18">
        <v>3</v>
      </c>
      <c r="D211" s="4"/>
      <c r="E211" s="4"/>
      <c r="F211" s="3" t="s">
        <v>1</v>
      </c>
      <c r="G211" s="5">
        <v>7</v>
      </c>
      <c r="H211" s="7">
        <v>720.38200000000006</v>
      </c>
      <c r="I211" s="16">
        <v>216552.71200000003</v>
      </c>
      <c r="J211" s="16"/>
      <c r="K211" s="16"/>
      <c r="L211" s="4"/>
      <c r="M211" s="4"/>
      <c r="N211" s="2"/>
      <c r="O211" s="3"/>
      <c r="P211" s="11"/>
      <c r="Q211" s="4"/>
      <c r="R211" s="7"/>
      <c r="S211" s="17"/>
      <c r="T211" s="4"/>
      <c r="U211" s="3"/>
      <c r="V211" s="3"/>
      <c r="W211" s="3"/>
      <c r="X211" s="3"/>
      <c r="Y211" s="3"/>
      <c r="Z211" s="3"/>
      <c r="AA211" s="3"/>
    </row>
    <row r="212" spans="2:27" ht="14.25" customHeight="1" x14ac:dyDescent="0.3">
      <c r="B212" s="34">
        <v>3024</v>
      </c>
      <c r="C212" s="18">
        <v>3</v>
      </c>
      <c r="D212" s="4"/>
      <c r="F212" s="3" t="s">
        <v>1</v>
      </c>
      <c r="G212" s="5" t="str">
        <f t="shared" ref="G212:G220" si="28">RIGHT(B212,2)</f>
        <v>24</v>
      </c>
      <c r="H212" s="7">
        <v>1596.3536000000001</v>
      </c>
      <c r="I212" s="16">
        <v>495570.44480000006</v>
      </c>
      <c r="J212" s="16"/>
      <c r="K212" s="16"/>
      <c r="L212" s="4"/>
      <c r="M212" s="4"/>
      <c r="P212" s="11"/>
      <c r="Q212" s="4"/>
      <c r="R212" s="7"/>
      <c r="S212" s="17"/>
      <c r="T212" s="4"/>
      <c r="U212" s="3"/>
      <c r="V212" s="3"/>
      <c r="W212" s="3"/>
      <c r="X212" s="3"/>
      <c r="Y212" s="3"/>
      <c r="Z212" s="3"/>
      <c r="AA212" s="3"/>
    </row>
    <row r="213" spans="2:27" ht="14.25" customHeight="1" x14ac:dyDescent="0.3">
      <c r="B213" s="34">
        <v>3029</v>
      </c>
      <c r="C213" s="18">
        <v>3</v>
      </c>
      <c r="D213" s="4"/>
      <c r="E213" s="4"/>
      <c r="F213" s="3" t="s">
        <v>1</v>
      </c>
      <c r="G213" s="5" t="str">
        <f t="shared" si="28"/>
        <v>29</v>
      </c>
      <c r="H213" s="7">
        <v>1121.9451999999999</v>
      </c>
      <c r="I213" s="16">
        <v>388656.80639999994</v>
      </c>
      <c r="J213" s="16"/>
      <c r="K213" s="16"/>
      <c r="L213" s="4"/>
      <c r="M213" s="4"/>
      <c r="N213" s="2"/>
      <c r="O213" s="3"/>
      <c r="P213" s="11"/>
      <c r="Q213" s="4"/>
      <c r="R213" s="7"/>
      <c r="S213" s="17"/>
      <c r="T213" s="4"/>
      <c r="U213" s="3"/>
      <c r="V213" s="3"/>
      <c r="W213" s="3"/>
      <c r="X213" s="3"/>
      <c r="Y213" s="3"/>
      <c r="Z213" s="3"/>
      <c r="AA213" s="3"/>
    </row>
    <row r="214" spans="2:27" ht="14.25" customHeight="1" x14ac:dyDescent="0.3">
      <c r="B214" s="34">
        <v>3031</v>
      </c>
      <c r="C214" s="18">
        <v>3</v>
      </c>
      <c r="D214" s="4"/>
      <c r="F214" s="3" t="s">
        <v>1</v>
      </c>
      <c r="G214" s="5" t="str">
        <f t="shared" si="28"/>
        <v>31</v>
      </c>
      <c r="H214" s="7">
        <v>1596.3536000000001</v>
      </c>
      <c r="I214" s="16">
        <v>495024.09120000002</v>
      </c>
      <c r="J214" s="16"/>
      <c r="K214" s="16"/>
      <c r="L214" s="4"/>
      <c r="M214" s="4"/>
      <c r="P214" s="11"/>
      <c r="Q214" s="4"/>
      <c r="R214" s="7"/>
      <c r="S214" s="17"/>
      <c r="T214" s="4"/>
      <c r="U214" s="3"/>
      <c r="V214" s="3"/>
      <c r="W214" s="3"/>
      <c r="X214" s="3"/>
      <c r="Y214" s="3"/>
      <c r="Z214" s="3"/>
      <c r="AA214" s="3"/>
    </row>
    <row r="215" spans="2:27" ht="14.25" customHeight="1" x14ac:dyDescent="0.3">
      <c r="B215" s="34">
        <v>3038</v>
      </c>
      <c r="C215" s="18">
        <v>3</v>
      </c>
      <c r="D215" s="4"/>
      <c r="E215" s="4"/>
      <c r="F215" s="3" t="s">
        <v>1</v>
      </c>
      <c r="G215" s="5" t="str">
        <f t="shared" si="28"/>
        <v>38</v>
      </c>
      <c r="H215" s="7">
        <v>1596.3536000000001</v>
      </c>
      <c r="I215" s="16">
        <v>526947.16320000007</v>
      </c>
      <c r="J215" s="16"/>
      <c r="K215" s="16"/>
      <c r="L215" s="4"/>
      <c r="M215" s="4"/>
      <c r="P215" s="11"/>
      <c r="Q215" s="4"/>
      <c r="R215" s="7"/>
      <c r="S215" s="17"/>
      <c r="T215" s="4"/>
      <c r="U215" s="3"/>
      <c r="V215" s="3"/>
      <c r="W215" s="3"/>
      <c r="X215" s="3"/>
      <c r="Y215" s="3"/>
      <c r="Z215" s="3"/>
      <c r="AA215" s="3"/>
    </row>
    <row r="216" spans="2:27" ht="14.25" customHeight="1" x14ac:dyDescent="0.3">
      <c r="B216" s="34">
        <v>3049</v>
      </c>
      <c r="C216" s="18">
        <v>3</v>
      </c>
      <c r="D216" s="4"/>
      <c r="E216" s="4"/>
      <c r="F216" s="3" t="s">
        <v>1</v>
      </c>
      <c r="G216" s="5" t="str">
        <f t="shared" si="28"/>
        <v>49</v>
      </c>
      <c r="H216" s="7">
        <v>1273.8763999999999</v>
      </c>
      <c r="I216" s="16">
        <v>427236.09959999996</v>
      </c>
      <c r="J216" s="16"/>
      <c r="K216" s="16"/>
      <c r="L216" s="4"/>
      <c r="M216" s="4"/>
      <c r="N216" s="2"/>
      <c r="O216" s="3"/>
      <c r="P216" s="11"/>
      <c r="Q216" s="4"/>
      <c r="R216" s="7"/>
      <c r="S216" s="17"/>
      <c r="T216" s="4"/>
      <c r="U216" s="3"/>
      <c r="V216" s="3"/>
      <c r="W216" s="3"/>
      <c r="X216" s="3"/>
      <c r="Y216" s="3"/>
      <c r="Z216" s="3"/>
      <c r="AA216" s="3"/>
    </row>
    <row r="217" spans="2:27" ht="14.25" customHeight="1" x14ac:dyDescent="0.3">
      <c r="B217" s="34">
        <v>3050</v>
      </c>
      <c r="C217" s="18">
        <v>3</v>
      </c>
      <c r="D217" s="4"/>
      <c r="E217" s="4"/>
      <c r="F217" s="3" t="s">
        <v>1</v>
      </c>
      <c r="G217" s="5" t="str">
        <f t="shared" si="28"/>
        <v>50</v>
      </c>
      <c r="H217" s="7">
        <v>966.57079999999996</v>
      </c>
      <c r="I217" s="16">
        <v>327044.36839999998</v>
      </c>
      <c r="J217" s="16"/>
      <c r="K217" s="16"/>
      <c r="L217" s="4"/>
      <c r="M217" s="4"/>
      <c r="N217" s="2"/>
      <c r="O217" s="3"/>
      <c r="P217" s="11"/>
      <c r="Q217" s="4"/>
      <c r="R217" s="7"/>
      <c r="S217" s="17"/>
      <c r="T217" s="4"/>
      <c r="U217" s="3"/>
      <c r="V217" s="3"/>
      <c r="W217" s="3"/>
      <c r="X217" s="3"/>
      <c r="Y217" s="3"/>
      <c r="Z217" s="3"/>
      <c r="AA217" s="3"/>
    </row>
    <row r="218" spans="2:27" ht="14.25" customHeight="1" x14ac:dyDescent="0.3">
      <c r="B218" s="34">
        <v>3051</v>
      </c>
      <c r="C218" s="18">
        <v>3</v>
      </c>
      <c r="D218" s="4"/>
      <c r="E218" s="4"/>
      <c r="F218" s="3" t="s">
        <v>1</v>
      </c>
      <c r="G218" s="5" t="str">
        <f t="shared" si="28"/>
        <v>51</v>
      </c>
      <c r="H218" s="7">
        <v>1357.1587999999999</v>
      </c>
      <c r="I218" s="16">
        <v>385447.68719999999</v>
      </c>
      <c r="J218" s="16"/>
      <c r="K218" s="16"/>
      <c r="L218" s="4"/>
      <c r="M218" s="4"/>
      <c r="N218" s="2"/>
      <c r="O218" s="3"/>
      <c r="P218" s="11"/>
      <c r="Q218" s="4"/>
      <c r="R218" s="7"/>
      <c r="S218" s="17"/>
      <c r="T218" s="4"/>
      <c r="U218" s="3"/>
      <c r="V218" s="3"/>
      <c r="W218" s="3"/>
      <c r="X218" s="3"/>
      <c r="Y218" s="3"/>
      <c r="Z218" s="3"/>
      <c r="AA218" s="3"/>
    </row>
    <row r="219" spans="2:27" ht="14.25" customHeight="1" x14ac:dyDescent="0.3">
      <c r="B219" s="34">
        <v>3056</v>
      </c>
      <c r="C219" s="18">
        <v>3</v>
      </c>
      <c r="D219" s="4"/>
      <c r="E219" s="4"/>
      <c r="F219" s="3" t="s">
        <v>1</v>
      </c>
      <c r="G219" s="5" t="str">
        <f t="shared" si="28"/>
        <v>56</v>
      </c>
      <c r="H219" s="7">
        <v>1343.386</v>
      </c>
      <c r="I219" s="16">
        <v>401894.81799999997</v>
      </c>
      <c r="J219" s="16"/>
      <c r="K219" s="16"/>
      <c r="L219" s="4"/>
      <c r="M219" s="4"/>
      <c r="N219" s="2"/>
      <c r="O219" s="3"/>
      <c r="P219" s="11"/>
      <c r="Q219" s="4"/>
      <c r="R219" s="7"/>
      <c r="S219" s="17"/>
      <c r="T219" s="4"/>
      <c r="U219" s="3"/>
      <c r="V219" s="3"/>
      <c r="W219" s="3"/>
      <c r="X219" s="3"/>
      <c r="Y219" s="3"/>
      <c r="Z219" s="3"/>
      <c r="AA219" s="3"/>
    </row>
    <row r="220" spans="2:27" ht="14.25" customHeight="1" x14ac:dyDescent="0.3">
      <c r="B220" s="34">
        <v>3058</v>
      </c>
      <c r="C220" s="18">
        <v>3</v>
      </c>
      <c r="D220" s="4"/>
      <c r="E220" s="4"/>
      <c r="F220" s="3" t="s">
        <v>1</v>
      </c>
      <c r="G220" s="5" t="str">
        <f t="shared" si="28"/>
        <v>58</v>
      </c>
      <c r="H220" s="7">
        <v>758.68760000000009</v>
      </c>
      <c r="I220" s="16">
        <v>264275.78240000003</v>
      </c>
      <c r="J220" s="16"/>
      <c r="K220" s="16"/>
      <c r="L220" s="4"/>
      <c r="M220" s="4"/>
      <c r="N220" s="2"/>
      <c r="O220" s="3"/>
      <c r="P220" s="11"/>
      <c r="Q220" s="4"/>
      <c r="R220" s="7"/>
      <c r="S220" s="17"/>
      <c r="T220" s="4"/>
      <c r="U220" s="3"/>
      <c r="V220" s="3"/>
      <c r="W220" s="3"/>
      <c r="X220" s="3"/>
      <c r="Y220" s="3"/>
      <c r="Z220" s="3"/>
      <c r="AA220" s="3"/>
    </row>
    <row r="221" spans="2:27" ht="14.25" customHeight="1" x14ac:dyDescent="0.3">
      <c r="B221" s="34">
        <v>4002</v>
      </c>
      <c r="C221" s="18">
        <v>4</v>
      </c>
      <c r="D221" s="4"/>
      <c r="E221" s="4"/>
      <c r="F221" s="3" t="s">
        <v>1</v>
      </c>
      <c r="G221" s="5">
        <v>2</v>
      </c>
      <c r="H221" s="7">
        <v>789.24599999999987</v>
      </c>
      <c r="I221" s="16">
        <v>231348.92799999996</v>
      </c>
      <c r="J221" s="16"/>
      <c r="K221" s="16"/>
      <c r="L221" s="4"/>
      <c r="M221" s="4"/>
      <c r="N221" s="2"/>
      <c r="O221" s="3"/>
      <c r="P221" s="11"/>
      <c r="Q221" s="4"/>
      <c r="R221" s="7"/>
      <c r="S221" s="17"/>
      <c r="T221" s="4"/>
      <c r="U221" s="3"/>
      <c r="V221" s="3"/>
      <c r="W221" s="3"/>
      <c r="X221" s="3"/>
      <c r="Y221" s="3"/>
      <c r="Z221" s="3"/>
      <c r="AA221" s="3"/>
    </row>
    <row r="222" spans="2:27" ht="14.25" customHeight="1" x14ac:dyDescent="0.3">
      <c r="B222" s="34">
        <v>4009</v>
      </c>
      <c r="C222" s="18">
        <v>4</v>
      </c>
      <c r="D222" s="4"/>
      <c r="E222" s="4"/>
      <c r="F222" s="3" t="s">
        <v>1</v>
      </c>
      <c r="G222" s="5" t="str">
        <f t="shared" ref="G222:G240" si="29">RIGHT(B222,2)</f>
        <v>09</v>
      </c>
      <c r="H222" s="7">
        <v>789.24599999999987</v>
      </c>
      <c r="I222" s="16">
        <v>264238.94999999995</v>
      </c>
      <c r="J222" s="16"/>
      <c r="K222" s="16"/>
      <c r="L222" s="4"/>
      <c r="M222" s="4"/>
      <c r="N222" s="2"/>
      <c r="O222" s="3"/>
      <c r="P222" s="11"/>
      <c r="Q222" s="4"/>
      <c r="R222" s="7"/>
      <c r="S222" s="17"/>
      <c r="T222" s="4"/>
      <c r="U222" s="3"/>
      <c r="V222" s="3"/>
      <c r="W222" s="3"/>
      <c r="X222" s="3"/>
      <c r="Y222" s="3"/>
      <c r="Z222" s="3"/>
      <c r="AA222" s="3"/>
    </row>
    <row r="223" spans="2:27" ht="14.25" customHeight="1" x14ac:dyDescent="0.3">
      <c r="B223" s="34">
        <v>4013</v>
      </c>
      <c r="C223" s="18">
        <v>4</v>
      </c>
      <c r="D223" s="4"/>
      <c r="E223" s="4"/>
      <c r="F223" s="3" t="s">
        <v>1</v>
      </c>
      <c r="G223" s="5" t="str">
        <f t="shared" si="29"/>
        <v>13</v>
      </c>
      <c r="H223" s="7">
        <v>733.18639999999994</v>
      </c>
      <c r="I223" s="16">
        <v>217357.63279999999</v>
      </c>
      <c r="J223" s="16"/>
      <c r="K223" s="16"/>
      <c r="L223" s="4"/>
      <c r="M223" s="4"/>
      <c r="N223" s="2"/>
      <c r="O223" s="3"/>
      <c r="P223" s="11"/>
      <c r="Q223" s="4"/>
      <c r="R223" s="7"/>
      <c r="S223" s="17"/>
      <c r="T223" s="4"/>
      <c r="U223" s="3"/>
      <c r="V223" s="3"/>
      <c r="W223" s="3"/>
      <c r="X223" s="3"/>
      <c r="Y223" s="3"/>
      <c r="Z223" s="3"/>
      <c r="AA223" s="3"/>
    </row>
    <row r="224" spans="2:27" ht="14.25" customHeight="1" x14ac:dyDescent="0.3">
      <c r="B224" s="34">
        <v>4014</v>
      </c>
      <c r="C224" s="18">
        <v>4</v>
      </c>
      <c r="D224" s="4"/>
      <c r="F224" s="3" t="s">
        <v>1</v>
      </c>
      <c r="G224" s="5" t="str">
        <f t="shared" si="29"/>
        <v>14</v>
      </c>
      <c r="H224" s="7">
        <v>1611.8480000000002</v>
      </c>
      <c r="I224" s="16">
        <v>482404.31200000003</v>
      </c>
      <c r="J224" s="16"/>
      <c r="K224" s="16"/>
      <c r="L224" s="4"/>
      <c r="M224" s="4"/>
      <c r="P224" s="4"/>
      <c r="Q224" s="4"/>
      <c r="R224" s="4"/>
      <c r="S224" s="4"/>
      <c r="T224" s="4"/>
      <c r="U224" s="3"/>
      <c r="V224" s="3"/>
      <c r="W224" s="3"/>
      <c r="X224" s="3"/>
      <c r="Y224" s="3"/>
      <c r="Z224" s="3"/>
      <c r="AA224" s="3"/>
    </row>
    <row r="225" spans="2:27" ht="14.25" customHeight="1" x14ac:dyDescent="0.3">
      <c r="B225" s="34">
        <v>4015</v>
      </c>
      <c r="C225" s="18">
        <v>4</v>
      </c>
      <c r="D225" s="4"/>
      <c r="E225" s="4"/>
      <c r="F225" s="3" t="s">
        <v>1</v>
      </c>
      <c r="G225" s="5" t="str">
        <f t="shared" si="29"/>
        <v>15</v>
      </c>
      <c r="H225" s="7">
        <v>789.24599999999987</v>
      </c>
      <c r="I225" s="16">
        <v>228937.89599999995</v>
      </c>
      <c r="J225" s="16"/>
      <c r="K225" s="16"/>
      <c r="L225" s="4"/>
      <c r="M225" s="4"/>
      <c r="N225" s="2"/>
      <c r="O225" s="3"/>
      <c r="P225" s="11"/>
      <c r="Q225" s="4"/>
      <c r="R225" s="7"/>
      <c r="S225" s="17"/>
      <c r="T225" s="4"/>
      <c r="U225" s="3"/>
      <c r="V225" s="3"/>
      <c r="W225" s="3"/>
      <c r="X225" s="3"/>
      <c r="Y225" s="3"/>
      <c r="Z225" s="3"/>
      <c r="AA225" s="3"/>
    </row>
    <row r="226" spans="2:27" ht="14.25" customHeight="1" x14ac:dyDescent="0.3">
      <c r="B226" s="34">
        <v>4020</v>
      </c>
      <c r="C226" s="18">
        <v>4</v>
      </c>
      <c r="D226" s="4"/>
      <c r="E226" s="4"/>
      <c r="F226" s="3" t="s">
        <v>1</v>
      </c>
      <c r="G226" s="5" t="str">
        <f t="shared" si="29"/>
        <v>20</v>
      </c>
      <c r="H226" s="7">
        <v>1611.8480000000002</v>
      </c>
      <c r="I226" s="16">
        <v>498994.03200000006</v>
      </c>
      <c r="J226" s="16"/>
      <c r="K226" s="16"/>
      <c r="L226" s="4"/>
      <c r="M226" s="4"/>
      <c r="P226" s="4"/>
      <c r="Q226" s="4"/>
      <c r="R226" s="4"/>
      <c r="S226" s="4"/>
      <c r="T226" s="4"/>
      <c r="U226" s="3"/>
      <c r="V226" s="3"/>
      <c r="W226" s="3"/>
      <c r="X226" s="3"/>
      <c r="Y226" s="3"/>
      <c r="Z226" s="3"/>
      <c r="AA226" s="3"/>
    </row>
    <row r="227" spans="2:27" ht="14.25" customHeight="1" x14ac:dyDescent="0.3">
      <c r="B227" s="34">
        <v>4021</v>
      </c>
      <c r="C227" s="18">
        <v>4</v>
      </c>
      <c r="D227" s="4"/>
      <c r="E227" s="4"/>
      <c r="F227" s="3" t="s">
        <v>1</v>
      </c>
      <c r="G227" s="5" t="str">
        <f t="shared" si="29"/>
        <v>21</v>
      </c>
      <c r="H227" s="7">
        <v>789.24599999999987</v>
      </c>
      <c r="I227" s="16">
        <v>256376.27599999995</v>
      </c>
      <c r="J227" s="16"/>
      <c r="K227" s="16"/>
      <c r="L227" s="4"/>
      <c r="M227" s="4"/>
      <c r="N227" s="2"/>
      <c r="O227" s="3"/>
      <c r="P227" s="11"/>
      <c r="Q227" s="4"/>
      <c r="R227" s="7"/>
      <c r="S227" s="17"/>
      <c r="T227" s="4"/>
      <c r="U227" s="3"/>
      <c r="V227" s="3"/>
      <c r="W227" s="3"/>
      <c r="X227" s="3"/>
      <c r="Y227" s="3"/>
      <c r="Z227" s="3"/>
      <c r="AA227" s="3"/>
    </row>
    <row r="228" spans="2:27" ht="14.25" customHeight="1" x14ac:dyDescent="0.3">
      <c r="B228" s="34">
        <v>4023</v>
      </c>
      <c r="C228" s="18">
        <v>4</v>
      </c>
      <c r="D228" s="4"/>
      <c r="E228" s="4"/>
      <c r="F228" s="3" t="s">
        <v>1</v>
      </c>
      <c r="G228" s="5" t="str">
        <f t="shared" si="29"/>
        <v>23</v>
      </c>
      <c r="H228" s="7">
        <v>794.51840000000004</v>
      </c>
      <c r="I228" s="16">
        <v>255243.10879999999</v>
      </c>
      <c r="J228" s="16"/>
      <c r="K228" s="16"/>
      <c r="L228" s="4"/>
      <c r="M228" s="4"/>
      <c r="N228" s="2"/>
      <c r="O228" s="3"/>
      <c r="P228" s="11"/>
      <c r="Q228" s="4"/>
      <c r="R228" s="7"/>
      <c r="S228" s="17"/>
      <c r="T228" s="4"/>
      <c r="U228" s="3"/>
      <c r="V228" s="3"/>
      <c r="W228" s="3"/>
      <c r="X228" s="3"/>
      <c r="Y228" s="3"/>
      <c r="Z228" s="3"/>
      <c r="AA228" s="3"/>
    </row>
    <row r="229" spans="2:27" ht="14.25" customHeight="1" x14ac:dyDescent="0.3">
      <c r="B229" s="34">
        <v>4026</v>
      </c>
      <c r="C229" s="18">
        <v>4</v>
      </c>
      <c r="D229" s="4"/>
      <c r="F229" s="3" t="s">
        <v>1</v>
      </c>
      <c r="G229" s="5" t="str">
        <f t="shared" si="29"/>
        <v>26</v>
      </c>
      <c r="H229" s="7">
        <v>1611.8480000000002</v>
      </c>
      <c r="I229" s="16">
        <v>506786.66400000005</v>
      </c>
      <c r="J229" s="16"/>
      <c r="K229" s="16"/>
      <c r="L229" s="4"/>
      <c r="M229" s="4"/>
      <c r="P229" s="11"/>
      <c r="Q229" s="4"/>
      <c r="R229" s="7"/>
      <c r="S229" s="17"/>
      <c r="T229" s="4"/>
      <c r="U229" s="3"/>
      <c r="V229" s="3"/>
      <c r="W229" s="3"/>
      <c r="X229" s="3"/>
      <c r="Y229" s="3"/>
      <c r="Z229" s="3"/>
      <c r="AA229" s="3"/>
    </row>
    <row r="230" spans="2:27" ht="14.25" customHeight="1" x14ac:dyDescent="0.3">
      <c r="B230" s="34">
        <v>4027</v>
      </c>
      <c r="C230" s="18">
        <v>4</v>
      </c>
      <c r="D230" s="4"/>
      <c r="E230" s="4"/>
      <c r="F230" s="3" t="s">
        <v>1</v>
      </c>
      <c r="G230" s="5" t="str">
        <f t="shared" si="29"/>
        <v>27</v>
      </c>
      <c r="H230" s="7">
        <v>789.24599999999987</v>
      </c>
      <c r="I230" s="16">
        <v>233172.48999999996</v>
      </c>
      <c r="J230" s="16"/>
      <c r="K230" s="16"/>
      <c r="L230" s="4"/>
      <c r="M230" s="4"/>
      <c r="N230" s="2"/>
      <c r="O230" s="3"/>
      <c r="P230" s="11"/>
      <c r="Q230" s="4"/>
      <c r="R230" s="7"/>
      <c r="S230" s="17"/>
      <c r="T230" s="4"/>
      <c r="U230" s="3"/>
      <c r="V230" s="3"/>
      <c r="W230" s="3"/>
      <c r="X230" s="3"/>
      <c r="Y230" s="3"/>
      <c r="Z230" s="3"/>
      <c r="AA230" s="3"/>
    </row>
    <row r="231" spans="2:27" ht="14.25" customHeight="1" x14ac:dyDescent="0.3">
      <c r="B231" s="34">
        <v>4029</v>
      </c>
      <c r="C231" s="18">
        <v>4</v>
      </c>
      <c r="D231" s="4"/>
      <c r="E231" s="4"/>
      <c r="F231" s="3" t="s">
        <v>1</v>
      </c>
      <c r="G231" s="5" t="str">
        <f t="shared" si="29"/>
        <v>29</v>
      </c>
      <c r="H231" s="7">
        <v>794.51840000000004</v>
      </c>
      <c r="I231" s="16">
        <v>233834.00480000002</v>
      </c>
      <c r="J231" s="16"/>
      <c r="K231" s="16"/>
      <c r="L231" s="4"/>
      <c r="M231" s="4"/>
      <c r="N231" s="2"/>
      <c r="O231" s="3"/>
      <c r="P231" s="11"/>
      <c r="Q231" s="4"/>
      <c r="R231" s="7"/>
      <c r="S231" s="17"/>
      <c r="T231" s="4"/>
      <c r="U231" s="3"/>
      <c r="V231" s="3"/>
      <c r="W231" s="3"/>
      <c r="X231" s="3"/>
      <c r="Y231" s="3"/>
      <c r="Z231" s="3"/>
      <c r="AA231" s="3"/>
    </row>
    <row r="232" spans="2:27" ht="14.25" customHeight="1" x14ac:dyDescent="0.3">
      <c r="B232" s="34">
        <v>4032</v>
      </c>
      <c r="C232" s="18">
        <v>4</v>
      </c>
      <c r="D232" s="4"/>
      <c r="E232" s="4"/>
      <c r="F232" s="3" t="s">
        <v>1</v>
      </c>
      <c r="G232" s="5" t="str">
        <f t="shared" si="29"/>
        <v>32</v>
      </c>
      <c r="H232" s="7">
        <v>1611.8480000000002</v>
      </c>
      <c r="I232" s="16">
        <v>523373.44800000009</v>
      </c>
      <c r="J232" s="16"/>
      <c r="K232" s="16"/>
      <c r="L232" s="4"/>
      <c r="M232" s="4"/>
      <c r="P232" s="11"/>
      <c r="Q232" s="4"/>
      <c r="R232" s="7"/>
      <c r="S232" s="17"/>
      <c r="T232" s="4"/>
      <c r="U232" s="3"/>
      <c r="V232" s="3"/>
      <c r="W232" s="3"/>
      <c r="X232" s="3"/>
      <c r="Y232" s="3"/>
      <c r="Z232" s="3"/>
      <c r="AA232" s="3"/>
    </row>
    <row r="233" spans="2:27" ht="14.25" customHeight="1" x14ac:dyDescent="0.3">
      <c r="B233" s="34">
        <v>4033</v>
      </c>
      <c r="C233" s="18">
        <v>4</v>
      </c>
      <c r="D233" s="4"/>
      <c r="E233" s="4"/>
      <c r="F233" s="3" t="s">
        <v>1</v>
      </c>
      <c r="G233" s="5" t="str">
        <f t="shared" si="29"/>
        <v>33</v>
      </c>
      <c r="H233" s="7">
        <v>789.24599999999987</v>
      </c>
      <c r="I233" s="16">
        <v>228872.91199999995</v>
      </c>
      <c r="J233" s="16"/>
      <c r="K233" s="16"/>
      <c r="L233" s="4"/>
      <c r="M233" s="4"/>
      <c r="N233" s="2"/>
      <c r="O233" s="3"/>
      <c r="P233" s="11"/>
      <c r="Q233" s="4"/>
      <c r="R233" s="7"/>
      <c r="S233" s="17"/>
      <c r="T233" s="4"/>
      <c r="U233" s="3"/>
      <c r="V233" s="3"/>
      <c r="W233" s="3"/>
      <c r="X233" s="3"/>
      <c r="Y233" s="3"/>
      <c r="Z233" s="3"/>
      <c r="AA233" s="3"/>
    </row>
    <row r="234" spans="2:27" ht="14.25" customHeight="1" x14ac:dyDescent="0.3">
      <c r="B234" s="34">
        <v>4034</v>
      </c>
      <c r="C234" s="18">
        <v>4</v>
      </c>
      <c r="D234" s="4"/>
      <c r="E234" s="4"/>
      <c r="F234" s="3" t="s">
        <v>1</v>
      </c>
      <c r="G234" s="5" t="str">
        <f t="shared" si="29"/>
        <v>34</v>
      </c>
      <c r="H234" s="7">
        <v>794.51840000000004</v>
      </c>
      <c r="I234" s="16">
        <v>208655.6704</v>
      </c>
      <c r="J234" s="16"/>
      <c r="K234" s="16"/>
      <c r="L234" s="4"/>
      <c r="M234" s="4"/>
      <c r="N234" s="2"/>
      <c r="O234" s="3"/>
      <c r="P234" s="11"/>
      <c r="Q234" s="4"/>
      <c r="R234" s="7"/>
      <c r="S234" s="17"/>
      <c r="T234" s="4"/>
      <c r="U234" s="3"/>
      <c r="V234" s="3"/>
      <c r="W234" s="3"/>
      <c r="X234" s="3"/>
      <c r="Y234" s="3"/>
      <c r="Z234" s="3"/>
      <c r="AA234" s="3"/>
    </row>
    <row r="235" spans="2:27" ht="14.25" customHeight="1" x14ac:dyDescent="0.3">
      <c r="B235" s="34">
        <v>4036</v>
      </c>
      <c r="C235" s="18">
        <v>4</v>
      </c>
      <c r="D235" s="4"/>
      <c r="E235" s="4"/>
      <c r="F235" s="3" t="s">
        <v>1</v>
      </c>
      <c r="G235" s="5" t="str">
        <f t="shared" si="29"/>
        <v>36</v>
      </c>
      <c r="H235" s="7">
        <v>1111.7231999999999</v>
      </c>
      <c r="I235" s="16">
        <v>322952.55839999998</v>
      </c>
      <c r="J235" s="16"/>
      <c r="K235" s="16"/>
      <c r="L235" s="4"/>
      <c r="M235" s="4"/>
      <c r="N235" s="2"/>
      <c r="O235" s="3"/>
      <c r="P235" s="11"/>
      <c r="Q235" s="4"/>
      <c r="R235" s="7"/>
      <c r="S235" s="17"/>
      <c r="T235" s="4"/>
      <c r="U235" s="3"/>
      <c r="V235" s="3"/>
      <c r="W235" s="3"/>
      <c r="X235" s="3"/>
      <c r="Y235" s="3"/>
      <c r="Z235" s="3"/>
      <c r="AA235" s="3"/>
    </row>
    <row r="236" spans="2:27" ht="14.25" customHeight="1" x14ac:dyDescent="0.3">
      <c r="B236" s="34">
        <v>4039</v>
      </c>
      <c r="C236" s="18">
        <v>4</v>
      </c>
      <c r="D236" s="4"/>
      <c r="E236" s="4"/>
      <c r="F236" s="3" t="s">
        <v>1</v>
      </c>
      <c r="G236" s="5" t="str">
        <f t="shared" si="29"/>
        <v>39</v>
      </c>
      <c r="H236" s="7">
        <v>785.48</v>
      </c>
      <c r="I236" s="16">
        <v>216826</v>
      </c>
      <c r="J236" s="16"/>
      <c r="K236" s="16"/>
      <c r="L236" s="4"/>
      <c r="M236" s="4"/>
      <c r="N236" s="2"/>
      <c r="O236" s="3"/>
      <c r="P236" s="11"/>
      <c r="Q236" s="4"/>
      <c r="R236" s="7"/>
      <c r="S236" s="17"/>
      <c r="T236" s="4"/>
      <c r="U236" s="3"/>
      <c r="V236" s="3"/>
      <c r="W236" s="3"/>
      <c r="X236" s="3"/>
      <c r="Y236" s="3"/>
      <c r="Z236" s="3"/>
      <c r="AA236" s="3"/>
    </row>
    <row r="237" spans="2:27" ht="14.25" customHeight="1" x14ac:dyDescent="0.3">
      <c r="B237" s="34">
        <v>4044</v>
      </c>
      <c r="C237" s="18">
        <v>4</v>
      </c>
      <c r="D237" s="4"/>
      <c r="E237" s="4"/>
      <c r="F237" s="3" t="s">
        <v>1</v>
      </c>
      <c r="G237" s="5" t="str">
        <f t="shared" si="29"/>
        <v>44</v>
      </c>
      <c r="H237" s="7">
        <v>1058.2459999999999</v>
      </c>
      <c r="I237" s="16">
        <v>298730.40399999998</v>
      </c>
      <c r="J237" s="16"/>
      <c r="K237" s="16"/>
      <c r="L237" s="4"/>
      <c r="M237" s="4"/>
      <c r="N237" s="2"/>
      <c r="O237" s="3"/>
      <c r="P237" s="11"/>
      <c r="Q237" s="4"/>
      <c r="R237" s="7"/>
      <c r="S237" s="17"/>
      <c r="T237" s="4"/>
      <c r="U237" s="3"/>
      <c r="V237" s="3"/>
      <c r="W237" s="3"/>
      <c r="X237" s="3"/>
      <c r="Y237" s="3"/>
      <c r="Z237" s="3"/>
      <c r="AA237" s="3"/>
    </row>
    <row r="238" spans="2:27" ht="14.25" customHeight="1" x14ac:dyDescent="0.3">
      <c r="B238" s="34">
        <v>4046</v>
      </c>
      <c r="C238" s="18">
        <v>4</v>
      </c>
      <c r="D238" s="4"/>
      <c r="E238" s="4"/>
      <c r="F238" s="3" t="s">
        <v>1</v>
      </c>
      <c r="G238" s="5" t="str">
        <f t="shared" si="29"/>
        <v>46</v>
      </c>
      <c r="H238" s="7">
        <v>791.72079999999994</v>
      </c>
      <c r="I238" s="16">
        <v>230495.00639999998</v>
      </c>
      <c r="J238" s="16"/>
      <c r="K238" s="16"/>
      <c r="L238" s="4"/>
      <c r="M238" s="4"/>
      <c r="N238" s="2"/>
      <c r="O238" s="3"/>
      <c r="P238" s="11"/>
      <c r="Q238" s="4"/>
      <c r="R238" s="7"/>
      <c r="S238" s="17"/>
      <c r="T238" s="4"/>
      <c r="U238" s="3"/>
      <c r="V238" s="3"/>
      <c r="W238" s="3"/>
      <c r="X238" s="3"/>
      <c r="Y238" s="3"/>
      <c r="Z238" s="3"/>
      <c r="AA238" s="3"/>
    </row>
    <row r="239" spans="2:27" ht="14.25" customHeight="1" x14ac:dyDescent="0.3">
      <c r="B239" s="34">
        <v>4048</v>
      </c>
      <c r="C239" s="18">
        <v>4</v>
      </c>
      <c r="D239" s="4"/>
      <c r="E239" s="4"/>
      <c r="F239" s="3" t="s">
        <v>1</v>
      </c>
      <c r="G239" s="5" t="str">
        <f t="shared" si="29"/>
        <v>48</v>
      </c>
      <c r="H239" s="7">
        <v>1068.5755999999999</v>
      </c>
      <c r="I239" s="16">
        <v>346048.04079999996</v>
      </c>
      <c r="J239" s="16"/>
      <c r="K239" s="16"/>
      <c r="L239" s="4"/>
      <c r="M239" s="4"/>
      <c r="N239" s="2"/>
      <c r="O239" s="3"/>
      <c r="P239" s="11"/>
      <c r="Q239" s="4"/>
      <c r="R239" s="7"/>
      <c r="S239" s="17"/>
      <c r="T239" s="4"/>
      <c r="U239" s="3"/>
      <c r="V239" s="3"/>
      <c r="W239" s="3"/>
      <c r="X239" s="3"/>
      <c r="Y239" s="3"/>
      <c r="Z239" s="3"/>
      <c r="AA239" s="3"/>
    </row>
    <row r="240" spans="2:27" ht="14.25" customHeight="1" x14ac:dyDescent="0.3">
      <c r="B240" s="34">
        <v>4049</v>
      </c>
      <c r="C240" s="18">
        <v>4</v>
      </c>
      <c r="D240" s="4"/>
      <c r="E240" s="4"/>
      <c r="F240" s="3" t="s">
        <v>1</v>
      </c>
      <c r="G240" s="5" t="str">
        <f t="shared" si="29"/>
        <v>49</v>
      </c>
      <c r="H240" s="7">
        <v>1325.3091999999999</v>
      </c>
      <c r="I240" s="16">
        <v>377043.5956</v>
      </c>
      <c r="J240" s="16"/>
      <c r="K240" s="16"/>
      <c r="L240" s="4"/>
      <c r="M240" s="4"/>
      <c r="N240" s="2"/>
      <c r="O240" s="3"/>
      <c r="P240" s="11"/>
      <c r="Q240" s="4"/>
      <c r="R240" s="7"/>
      <c r="S240" s="17"/>
      <c r="T240" s="4"/>
      <c r="U240" s="3"/>
      <c r="V240" s="3"/>
      <c r="W240" s="3"/>
      <c r="X240" s="3"/>
      <c r="Y240" s="3"/>
      <c r="Z240" s="3"/>
      <c r="AA240" s="3"/>
    </row>
    <row r="241" spans="2:27" ht="14.25" customHeight="1" x14ac:dyDescent="0.3">
      <c r="B241" s="34">
        <v>5002</v>
      </c>
      <c r="C241" s="18">
        <v>5</v>
      </c>
      <c r="D241" s="4"/>
      <c r="E241" s="4"/>
      <c r="F241" s="3" t="s">
        <v>1</v>
      </c>
      <c r="G241" s="5">
        <v>2</v>
      </c>
      <c r="H241" s="7">
        <v>1273.8763999999999</v>
      </c>
      <c r="I241" s="16">
        <v>413761.70639999997</v>
      </c>
      <c r="J241" s="16"/>
      <c r="K241" s="16"/>
      <c r="L241" s="4"/>
      <c r="M241" s="4"/>
      <c r="N241" s="2"/>
      <c r="O241" s="3"/>
      <c r="P241" s="11"/>
      <c r="Q241" s="4"/>
      <c r="R241" s="7"/>
      <c r="S241" s="17"/>
      <c r="T241" s="4"/>
      <c r="U241" s="3"/>
      <c r="V241" s="3"/>
      <c r="W241" s="3"/>
      <c r="X241" s="3"/>
      <c r="Y241" s="3"/>
      <c r="Z241" s="3"/>
      <c r="AA241" s="3"/>
    </row>
    <row r="242" spans="2:27" ht="14.25" customHeight="1" x14ac:dyDescent="0.3">
      <c r="B242" s="34">
        <v>5003</v>
      </c>
      <c r="C242" s="18">
        <v>5</v>
      </c>
      <c r="D242" s="4"/>
      <c r="E242" s="4"/>
      <c r="F242" s="3" t="s">
        <v>1</v>
      </c>
      <c r="G242" s="5">
        <v>3</v>
      </c>
      <c r="H242" s="7">
        <v>798.49959999999987</v>
      </c>
      <c r="I242" s="16">
        <v>212644.39479999998</v>
      </c>
      <c r="J242" s="16"/>
      <c r="K242" s="16"/>
      <c r="L242" s="4"/>
      <c r="M242" s="4"/>
      <c r="N242" s="2"/>
      <c r="O242" s="3"/>
      <c r="P242" s="11"/>
      <c r="Q242" s="4"/>
      <c r="R242" s="7"/>
      <c r="S242" s="17"/>
      <c r="T242" s="4"/>
      <c r="U242" s="3"/>
      <c r="V242" s="3"/>
      <c r="W242" s="3"/>
      <c r="X242" s="3"/>
      <c r="Y242" s="3"/>
      <c r="Z242" s="3"/>
      <c r="AA242" s="3"/>
    </row>
    <row r="243" spans="2:27" ht="14.25" customHeight="1" x14ac:dyDescent="0.3">
      <c r="B243" s="34">
        <v>5004</v>
      </c>
      <c r="C243" s="18">
        <v>5</v>
      </c>
      <c r="D243" s="4"/>
      <c r="E243" s="4"/>
      <c r="F243" s="3" t="s">
        <v>1</v>
      </c>
      <c r="G243" s="5">
        <v>4</v>
      </c>
      <c r="H243" s="7">
        <v>798.49959999999987</v>
      </c>
      <c r="I243" s="16">
        <v>250415.38199999995</v>
      </c>
      <c r="J243" s="16"/>
      <c r="K243" s="16"/>
      <c r="L243" s="4"/>
      <c r="M243" s="4"/>
      <c r="N243" s="2"/>
      <c r="O243" s="3"/>
      <c r="P243" s="11"/>
      <c r="Q243" s="4"/>
      <c r="R243" s="7"/>
      <c r="S243" s="17"/>
      <c r="T243" s="4"/>
      <c r="U243" s="3"/>
      <c r="V243" s="3"/>
      <c r="W243" s="3"/>
      <c r="X243" s="3"/>
      <c r="Y243" s="3"/>
      <c r="Z243" s="3"/>
      <c r="AA243" s="3"/>
    </row>
    <row r="244" spans="2:27" ht="14.25" customHeight="1" x14ac:dyDescent="0.3">
      <c r="B244" s="34">
        <v>5005</v>
      </c>
      <c r="C244" s="18">
        <v>5</v>
      </c>
      <c r="D244" s="4"/>
      <c r="E244" s="4"/>
      <c r="F244" s="3" t="s">
        <v>1</v>
      </c>
      <c r="G244" s="5">
        <v>5</v>
      </c>
      <c r="H244" s="7">
        <v>798.49959999999987</v>
      </c>
      <c r="I244" s="16">
        <v>219252.89199999996</v>
      </c>
      <c r="J244" s="16"/>
      <c r="K244" s="16"/>
      <c r="L244" s="4"/>
      <c r="M244" s="4"/>
      <c r="N244" s="2"/>
      <c r="O244" s="3"/>
      <c r="P244" s="11"/>
      <c r="Q244" s="4"/>
      <c r="R244" s="7"/>
      <c r="S244" s="17"/>
      <c r="T244" s="4"/>
      <c r="U244" s="3"/>
      <c r="V244" s="3"/>
      <c r="W244" s="3"/>
      <c r="X244" s="3"/>
      <c r="Y244" s="3"/>
      <c r="Z244" s="3"/>
      <c r="AA244" s="3"/>
    </row>
    <row r="245" spans="2:27" ht="14.25" customHeight="1" x14ac:dyDescent="0.3">
      <c r="B245" s="34">
        <v>5006</v>
      </c>
      <c r="C245" s="18">
        <v>5</v>
      </c>
      <c r="D245" s="4"/>
      <c r="E245" s="4"/>
      <c r="F245" s="3" t="s">
        <v>1</v>
      </c>
      <c r="G245" s="5">
        <v>6</v>
      </c>
      <c r="H245" s="7">
        <v>1058.2459999999999</v>
      </c>
      <c r="I245" s="16">
        <v>264011.69799999997</v>
      </c>
      <c r="J245" s="16"/>
      <c r="K245" s="16"/>
      <c r="L245" s="4"/>
      <c r="M245" s="4"/>
      <c r="N245" s="2"/>
      <c r="O245" s="3"/>
      <c r="P245" s="11"/>
      <c r="Q245" s="4"/>
      <c r="R245" s="7"/>
      <c r="S245" s="17"/>
      <c r="T245" s="4"/>
      <c r="U245" s="3"/>
      <c r="V245" s="3"/>
      <c r="W245" s="3"/>
      <c r="X245" s="3"/>
      <c r="Y245" s="3"/>
      <c r="Z245" s="3"/>
      <c r="AA245" s="3"/>
    </row>
    <row r="246" spans="2:27" ht="14.25" customHeight="1" x14ac:dyDescent="0.3">
      <c r="B246" s="34">
        <v>5007</v>
      </c>
      <c r="C246" s="18">
        <v>5</v>
      </c>
      <c r="D246" s="4"/>
      <c r="E246" s="4"/>
      <c r="F246" s="3" t="s">
        <v>1</v>
      </c>
      <c r="G246" s="5">
        <v>7</v>
      </c>
      <c r="H246" s="7">
        <v>618.16200000000003</v>
      </c>
      <c r="I246" s="16">
        <v>211406.86800000002</v>
      </c>
      <c r="J246" s="16"/>
      <c r="K246" s="16"/>
      <c r="L246" s="4"/>
      <c r="M246" s="4"/>
      <c r="N246" s="2"/>
      <c r="O246" s="3"/>
      <c r="P246" s="11"/>
      <c r="Q246" s="4"/>
      <c r="R246" s="7"/>
      <c r="S246" s="17"/>
      <c r="T246" s="4"/>
      <c r="U246" s="3"/>
      <c r="V246" s="3"/>
      <c r="W246" s="3"/>
      <c r="X246" s="3"/>
      <c r="Y246" s="3"/>
      <c r="Z246" s="3"/>
      <c r="AA246" s="3"/>
    </row>
    <row r="247" spans="2:27" ht="14.25" customHeight="1" x14ac:dyDescent="0.3">
      <c r="B247" s="34">
        <v>5008</v>
      </c>
      <c r="C247" s="18">
        <v>5</v>
      </c>
      <c r="D247" s="4"/>
      <c r="E247" s="4"/>
      <c r="F247" s="3" t="s">
        <v>1</v>
      </c>
      <c r="G247" s="5" t="str">
        <f>RIGHT(B247,2)</f>
        <v>08</v>
      </c>
      <c r="H247" s="7">
        <v>1273.8763999999999</v>
      </c>
      <c r="I247" s="16">
        <v>396330.29079999996</v>
      </c>
      <c r="J247" s="16"/>
      <c r="K247" s="16"/>
      <c r="L247" s="4"/>
      <c r="M247" s="4"/>
      <c r="N247" s="2"/>
      <c r="O247" s="3"/>
      <c r="P247" s="11"/>
      <c r="Q247" s="4"/>
      <c r="R247" s="7"/>
      <c r="S247" s="17"/>
      <c r="T247" s="4"/>
      <c r="U247" s="3"/>
      <c r="V247" s="3"/>
      <c r="W247" s="3"/>
      <c r="X247" s="3"/>
      <c r="Y247" s="3"/>
      <c r="Z247" s="3"/>
      <c r="AA247" s="3"/>
    </row>
    <row r="248" spans="2:27" ht="14.25" customHeight="1" x14ac:dyDescent="0.3">
      <c r="B248" s="34">
        <v>5009</v>
      </c>
      <c r="C248" s="18">
        <v>5</v>
      </c>
      <c r="D248" s="4"/>
      <c r="E248" s="4"/>
      <c r="F248" s="3" t="s">
        <v>1</v>
      </c>
      <c r="G248" s="5">
        <v>9</v>
      </c>
      <c r="H248" s="7">
        <v>798.49959999999987</v>
      </c>
      <c r="I248" s="16">
        <v>227072.87839999996</v>
      </c>
      <c r="J248" s="16"/>
      <c r="K248" s="16"/>
      <c r="L248" s="4"/>
      <c r="M248" s="4"/>
      <c r="N248" s="2"/>
      <c r="O248" s="3"/>
      <c r="P248" s="11"/>
      <c r="Q248" s="4"/>
      <c r="R248" s="7"/>
      <c r="S248" s="17"/>
      <c r="T248" s="4"/>
      <c r="U248" s="3"/>
      <c r="V248" s="3"/>
      <c r="W248" s="3"/>
      <c r="X248" s="3"/>
      <c r="Y248" s="3"/>
      <c r="Z248" s="3"/>
      <c r="AA248" s="3"/>
    </row>
    <row r="249" spans="2:27" ht="14.25" customHeight="1" x14ac:dyDescent="0.3">
      <c r="B249" s="34">
        <v>5010</v>
      </c>
      <c r="C249" s="18">
        <v>5</v>
      </c>
      <c r="D249" s="4"/>
      <c r="E249" s="4"/>
      <c r="F249" s="3" t="s">
        <v>1</v>
      </c>
      <c r="G249" s="5" t="str">
        <f t="shared" ref="G249:G272" si="30">RIGHT(B249,2)</f>
        <v>10</v>
      </c>
      <c r="H249" s="7">
        <v>798.49959999999987</v>
      </c>
      <c r="I249" s="16">
        <v>276323.86559999996</v>
      </c>
      <c r="J249" s="16"/>
      <c r="K249" s="16"/>
      <c r="L249" s="4"/>
      <c r="M249" s="4"/>
      <c r="N249" s="2"/>
      <c r="O249" s="3"/>
      <c r="P249" s="11"/>
      <c r="Q249" s="4"/>
      <c r="R249" s="7"/>
      <c r="S249" s="17"/>
      <c r="T249" s="4"/>
      <c r="U249" s="3"/>
      <c r="V249" s="3"/>
      <c r="W249" s="3"/>
      <c r="X249" s="3"/>
      <c r="Y249" s="3"/>
      <c r="Z249" s="3"/>
      <c r="AA249" s="3"/>
    </row>
    <row r="250" spans="2:27" ht="14.25" customHeight="1" x14ac:dyDescent="0.3">
      <c r="B250" s="34">
        <v>5011</v>
      </c>
      <c r="C250" s="18">
        <v>5</v>
      </c>
      <c r="D250" s="4"/>
      <c r="E250" s="4"/>
      <c r="F250" s="3" t="s">
        <v>1</v>
      </c>
      <c r="G250" s="5" t="str">
        <f t="shared" si="30"/>
        <v>11</v>
      </c>
      <c r="H250" s="7">
        <v>798.49959999999987</v>
      </c>
      <c r="I250" s="16">
        <v>230943.37959999996</v>
      </c>
      <c r="J250" s="16"/>
      <c r="K250" s="16"/>
      <c r="L250" s="4"/>
      <c r="M250" s="4"/>
      <c r="N250" s="2"/>
      <c r="O250" s="3"/>
      <c r="P250" s="11"/>
      <c r="Q250" s="4"/>
      <c r="R250" s="7"/>
      <c r="S250" s="17"/>
      <c r="T250" s="4"/>
      <c r="U250" s="3"/>
      <c r="V250" s="3"/>
      <c r="W250" s="3"/>
      <c r="X250" s="3"/>
      <c r="Y250" s="3"/>
      <c r="Z250" s="3"/>
      <c r="AA250" s="3"/>
    </row>
    <row r="251" spans="2:27" ht="14.25" customHeight="1" x14ac:dyDescent="0.3">
      <c r="B251" s="34">
        <v>5012</v>
      </c>
      <c r="C251" s="18">
        <v>5</v>
      </c>
      <c r="D251" s="4"/>
      <c r="E251" s="4"/>
      <c r="F251" s="3" t="s">
        <v>1</v>
      </c>
      <c r="G251" s="5" t="str">
        <f t="shared" si="30"/>
        <v>12</v>
      </c>
      <c r="H251" s="7">
        <v>1058.2459999999999</v>
      </c>
      <c r="I251" s="16">
        <v>315382.11</v>
      </c>
      <c r="J251" s="16"/>
      <c r="K251" s="16"/>
      <c r="L251" s="4"/>
      <c r="M251" s="4"/>
      <c r="N251" s="2"/>
      <c r="O251" s="3"/>
      <c r="P251" s="11"/>
      <c r="Q251" s="4"/>
      <c r="R251" s="7"/>
      <c r="S251" s="17"/>
      <c r="T251" s="4"/>
      <c r="U251" s="3"/>
      <c r="V251" s="3"/>
      <c r="W251" s="3"/>
      <c r="X251" s="3"/>
      <c r="Y251" s="3"/>
      <c r="Z251" s="3"/>
      <c r="AA251" s="3"/>
    </row>
    <row r="252" spans="2:27" ht="14.25" customHeight="1" x14ac:dyDescent="0.3">
      <c r="B252" s="34">
        <v>5014</v>
      </c>
      <c r="C252" s="18">
        <v>5</v>
      </c>
      <c r="D252" s="4"/>
      <c r="E252" s="4"/>
      <c r="F252" s="3" t="s">
        <v>1</v>
      </c>
      <c r="G252" s="5" t="str">
        <f t="shared" si="30"/>
        <v>14</v>
      </c>
      <c r="H252" s="7">
        <v>1273.5536</v>
      </c>
      <c r="I252" s="16">
        <v>372016.56160000002</v>
      </c>
      <c r="J252" s="16"/>
      <c r="K252" s="16"/>
      <c r="L252" s="4"/>
      <c r="M252" s="4"/>
      <c r="N252" s="2"/>
      <c r="O252" s="3"/>
      <c r="P252" s="11"/>
      <c r="Q252" s="4"/>
      <c r="R252" s="7"/>
      <c r="S252" s="17"/>
      <c r="T252" s="4"/>
      <c r="U252" s="3"/>
      <c r="V252" s="3"/>
      <c r="W252" s="3"/>
      <c r="X252" s="3"/>
      <c r="Y252" s="3"/>
      <c r="Z252" s="3"/>
      <c r="AA252" s="3"/>
    </row>
    <row r="253" spans="2:27" ht="14.25" customHeight="1" x14ac:dyDescent="0.3">
      <c r="B253" s="34">
        <v>5015</v>
      </c>
      <c r="C253" s="18">
        <v>5</v>
      </c>
      <c r="D253" s="4"/>
      <c r="E253" s="4"/>
      <c r="F253" s="3" t="s">
        <v>1</v>
      </c>
      <c r="G253" s="5" t="str">
        <f t="shared" si="30"/>
        <v>15</v>
      </c>
      <c r="H253" s="7">
        <v>798.49959999999987</v>
      </c>
      <c r="I253" s="16">
        <v>237680.87519999995</v>
      </c>
      <c r="J253" s="16"/>
      <c r="K253" s="16"/>
      <c r="L253" s="4"/>
      <c r="M253" s="4"/>
      <c r="N253" s="2"/>
      <c r="O253" s="3"/>
      <c r="P253" s="11"/>
      <c r="Q253" s="4"/>
      <c r="R253" s="7"/>
      <c r="S253" s="17"/>
      <c r="T253" s="4"/>
      <c r="U253" s="3"/>
      <c r="V253" s="3"/>
      <c r="W253" s="3"/>
      <c r="X253" s="3"/>
      <c r="Y253" s="3"/>
      <c r="Z253" s="3"/>
      <c r="AA253" s="3"/>
    </row>
    <row r="254" spans="2:27" ht="14.25" customHeight="1" x14ac:dyDescent="0.3">
      <c r="B254" s="34">
        <v>5016</v>
      </c>
      <c r="C254" s="18">
        <v>5</v>
      </c>
      <c r="D254" s="4"/>
      <c r="E254" s="4"/>
      <c r="F254" s="3" t="s">
        <v>1</v>
      </c>
      <c r="G254" s="5" t="str">
        <f t="shared" si="30"/>
        <v>16</v>
      </c>
      <c r="H254" s="7">
        <v>798.49959999999987</v>
      </c>
      <c r="I254" s="16">
        <v>234032.88399999996</v>
      </c>
      <c r="J254" s="16"/>
      <c r="K254" s="16"/>
      <c r="L254" s="4"/>
      <c r="M254" s="4"/>
      <c r="N254" s="2"/>
      <c r="O254" s="3"/>
      <c r="P254" s="11"/>
      <c r="Q254" s="4"/>
      <c r="R254" s="7"/>
      <c r="S254" s="17"/>
      <c r="T254" s="4"/>
      <c r="U254" s="3"/>
      <c r="V254" s="3"/>
      <c r="W254" s="3"/>
      <c r="X254" s="3"/>
      <c r="Y254" s="3"/>
      <c r="Z254" s="3"/>
      <c r="AA254" s="3"/>
    </row>
    <row r="255" spans="2:27" ht="14.25" customHeight="1" x14ac:dyDescent="0.3">
      <c r="B255" s="34">
        <v>5017</v>
      </c>
      <c r="C255" s="18">
        <v>5</v>
      </c>
      <c r="D255" s="4"/>
      <c r="E255" s="4"/>
      <c r="F255" s="3" t="s">
        <v>1</v>
      </c>
      <c r="G255" s="5" t="str">
        <f t="shared" si="30"/>
        <v>17</v>
      </c>
      <c r="H255" s="7">
        <v>798.28440000000001</v>
      </c>
      <c r="I255" s="16">
        <v>273165.57680000004</v>
      </c>
      <c r="J255" s="16"/>
      <c r="K255" s="16"/>
      <c r="L255" s="4"/>
      <c r="M255" s="4"/>
      <c r="N255" s="2"/>
      <c r="O255" s="3"/>
      <c r="P255" s="11"/>
      <c r="Q255" s="4"/>
      <c r="R255" s="7"/>
      <c r="S255" s="17"/>
      <c r="T255" s="4"/>
      <c r="U255" s="3"/>
      <c r="V255" s="3"/>
      <c r="W255" s="3"/>
      <c r="X255" s="3"/>
      <c r="Y255" s="3"/>
      <c r="Z255" s="3"/>
      <c r="AA255" s="3"/>
    </row>
    <row r="256" spans="2:27" ht="14.25" customHeight="1" x14ac:dyDescent="0.3">
      <c r="B256" s="34">
        <v>5018</v>
      </c>
      <c r="C256" s="18">
        <v>5</v>
      </c>
      <c r="D256" s="4"/>
      <c r="E256" s="4"/>
      <c r="F256" s="3" t="s">
        <v>1</v>
      </c>
      <c r="G256" s="5" t="str">
        <f t="shared" si="30"/>
        <v>18</v>
      </c>
      <c r="H256" s="7">
        <v>1057.9232</v>
      </c>
      <c r="I256" s="16">
        <v>271227.49439999997</v>
      </c>
      <c r="J256" s="16"/>
      <c r="K256" s="16"/>
      <c r="L256" s="4"/>
      <c r="M256" s="4"/>
      <c r="N256" s="2"/>
      <c r="O256" s="3"/>
      <c r="P256" s="11"/>
      <c r="Q256" s="4"/>
      <c r="R256" s="7"/>
      <c r="S256" s="17"/>
      <c r="T256" s="4"/>
      <c r="U256" s="3"/>
      <c r="V256" s="3"/>
      <c r="W256" s="3"/>
      <c r="X256" s="3"/>
      <c r="Y256" s="3"/>
      <c r="Z256" s="3"/>
      <c r="AA256" s="3"/>
    </row>
    <row r="257" spans="2:27" ht="14.25" customHeight="1" x14ac:dyDescent="0.3">
      <c r="B257" s="34">
        <v>5020</v>
      </c>
      <c r="C257" s="18">
        <v>5</v>
      </c>
      <c r="D257" s="4"/>
      <c r="E257" s="4"/>
      <c r="F257" s="3" t="s">
        <v>1</v>
      </c>
      <c r="G257" s="5" t="str">
        <f t="shared" si="30"/>
        <v>20</v>
      </c>
      <c r="H257" s="7">
        <v>1273.5536</v>
      </c>
      <c r="I257" s="16">
        <v>349865.22239999997</v>
      </c>
      <c r="J257" s="16"/>
      <c r="K257" s="16"/>
      <c r="L257" s="4"/>
      <c r="M257" s="4"/>
      <c r="N257" s="2"/>
      <c r="O257" s="3"/>
      <c r="P257" s="11"/>
      <c r="Q257" s="4"/>
      <c r="R257" s="7"/>
      <c r="S257" s="17"/>
      <c r="T257" s="4"/>
      <c r="U257" s="3"/>
      <c r="V257" s="3"/>
      <c r="W257" s="3"/>
      <c r="X257" s="3"/>
      <c r="Y257" s="3"/>
      <c r="Z257" s="3"/>
      <c r="AA257" s="3"/>
    </row>
    <row r="258" spans="2:27" ht="14.25" customHeight="1" x14ac:dyDescent="0.3">
      <c r="B258" s="34">
        <v>5025</v>
      </c>
      <c r="C258" s="18">
        <v>5</v>
      </c>
      <c r="D258" s="4"/>
      <c r="E258" s="4"/>
      <c r="F258" s="3" t="s">
        <v>1</v>
      </c>
      <c r="G258" s="5" t="str">
        <f t="shared" si="30"/>
        <v>25</v>
      </c>
      <c r="H258" s="7">
        <v>618.16200000000003</v>
      </c>
      <c r="I258" s="16">
        <v>199730.734</v>
      </c>
      <c r="J258" s="16"/>
      <c r="K258" s="16"/>
      <c r="L258" s="4"/>
      <c r="M258" s="4"/>
      <c r="N258" s="2"/>
      <c r="O258" s="3"/>
      <c r="P258" s="11"/>
      <c r="Q258" s="4"/>
      <c r="R258" s="7"/>
      <c r="S258" s="17"/>
      <c r="T258" s="4"/>
      <c r="U258" s="3"/>
      <c r="V258" s="3"/>
      <c r="W258" s="3"/>
      <c r="X258" s="3"/>
      <c r="Y258" s="3"/>
      <c r="Z258" s="3"/>
      <c r="AA258" s="3"/>
    </row>
    <row r="259" spans="2:27" ht="14.25" customHeight="1" x14ac:dyDescent="0.3">
      <c r="B259" s="34">
        <v>5026</v>
      </c>
      <c r="C259" s="18">
        <v>5</v>
      </c>
      <c r="D259" s="4"/>
      <c r="E259" s="4"/>
      <c r="F259" s="3" t="s">
        <v>1</v>
      </c>
      <c r="G259" s="5" t="str">
        <f t="shared" si="30"/>
        <v>26</v>
      </c>
      <c r="H259" s="7">
        <v>1273.5536</v>
      </c>
      <c r="I259" s="16">
        <v>338482.45439999999</v>
      </c>
      <c r="J259" s="16"/>
      <c r="K259" s="16"/>
      <c r="L259" s="4"/>
      <c r="M259" s="4"/>
      <c r="N259" s="2"/>
      <c r="O259" s="3"/>
      <c r="P259" s="11"/>
      <c r="Q259" s="4"/>
      <c r="R259" s="7"/>
      <c r="S259" s="17"/>
      <c r="T259" s="4"/>
      <c r="U259" s="3"/>
      <c r="V259" s="3"/>
      <c r="W259" s="3"/>
      <c r="X259" s="3"/>
      <c r="Y259" s="3"/>
      <c r="Z259" s="3"/>
      <c r="AA259" s="3"/>
    </row>
    <row r="260" spans="2:27" ht="14.25" customHeight="1" x14ac:dyDescent="0.3">
      <c r="B260" s="34">
        <v>5030</v>
      </c>
      <c r="C260" s="18">
        <v>5</v>
      </c>
      <c r="D260" s="4"/>
      <c r="E260" s="4"/>
      <c r="F260" s="3" t="s">
        <v>1</v>
      </c>
      <c r="G260" s="5" t="str">
        <f t="shared" si="30"/>
        <v>30</v>
      </c>
      <c r="H260" s="7">
        <v>1057.9232</v>
      </c>
      <c r="I260" s="16">
        <v>351304.57759999996</v>
      </c>
      <c r="J260" s="16"/>
      <c r="K260" s="16"/>
      <c r="L260" s="4"/>
      <c r="M260" s="4"/>
      <c r="N260" s="2"/>
      <c r="O260" s="3"/>
      <c r="P260" s="11"/>
      <c r="Q260" s="4"/>
      <c r="R260" s="7"/>
      <c r="S260" s="17"/>
      <c r="T260" s="4"/>
      <c r="U260" s="3"/>
      <c r="V260" s="3"/>
      <c r="W260" s="3"/>
      <c r="X260" s="3"/>
      <c r="Y260" s="3"/>
      <c r="Z260" s="3"/>
      <c r="AA260" s="3"/>
    </row>
    <row r="261" spans="2:27" ht="14.25" customHeight="1" x14ac:dyDescent="0.3">
      <c r="B261" s="34">
        <v>5032</v>
      </c>
      <c r="C261" s="18">
        <v>5</v>
      </c>
      <c r="D261" s="4"/>
      <c r="E261" s="4"/>
      <c r="F261" s="3" t="s">
        <v>1</v>
      </c>
      <c r="G261" s="5" t="str">
        <f t="shared" si="30"/>
        <v>32</v>
      </c>
      <c r="H261" s="7">
        <v>1273.5536</v>
      </c>
      <c r="I261" s="16">
        <v>338472.13279999996</v>
      </c>
      <c r="J261" s="16"/>
      <c r="K261" s="16"/>
      <c r="L261" s="4"/>
      <c r="M261" s="4"/>
      <c r="N261" s="2"/>
      <c r="O261" s="3"/>
      <c r="P261" s="11"/>
      <c r="Q261" s="4"/>
      <c r="R261" s="7"/>
      <c r="S261" s="17"/>
      <c r="T261" s="4"/>
      <c r="U261" s="3"/>
      <c r="V261" s="3"/>
      <c r="W261" s="3"/>
      <c r="X261" s="3"/>
      <c r="Y261" s="3"/>
      <c r="Z261" s="3"/>
      <c r="AA261" s="3"/>
    </row>
    <row r="262" spans="2:27" ht="14.25" customHeight="1" x14ac:dyDescent="0.3">
      <c r="B262" s="34">
        <v>5034</v>
      </c>
      <c r="C262" s="18">
        <v>5</v>
      </c>
      <c r="D262" s="4"/>
      <c r="E262" s="4"/>
      <c r="F262" s="3" t="s">
        <v>1</v>
      </c>
      <c r="G262" s="5" t="str">
        <f t="shared" si="30"/>
        <v>34</v>
      </c>
      <c r="H262" s="7">
        <v>798.28440000000001</v>
      </c>
      <c r="I262" s="16">
        <v>212916.35680000001</v>
      </c>
      <c r="J262" s="16"/>
      <c r="K262" s="16"/>
      <c r="L262" s="4"/>
      <c r="M262" s="4"/>
      <c r="N262" s="2"/>
      <c r="O262" s="3"/>
      <c r="P262" s="11"/>
      <c r="Q262" s="4"/>
      <c r="R262" s="7"/>
      <c r="S262" s="17"/>
      <c r="T262" s="4"/>
      <c r="U262" s="3"/>
      <c r="V262" s="3"/>
      <c r="W262" s="3"/>
      <c r="X262" s="3"/>
      <c r="Y262" s="3"/>
      <c r="Z262" s="3"/>
      <c r="AA262" s="3"/>
    </row>
    <row r="263" spans="2:27" ht="14.25" customHeight="1" x14ac:dyDescent="0.3">
      <c r="B263" s="34">
        <v>5036</v>
      </c>
      <c r="C263" s="18">
        <v>5</v>
      </c>
      <c r="D263" s="4"/>
      <c r="E263" s="4"/>
      <c r="F263" s="3" t="s">
        <v>1</v>
      </c>
      <c r="G263" s="5" t="str">
        <f t="shared" si="30"/>
        <v>36</v>
      </c>
      <c r="H263" s="7">
        <v>1057.9232</v>
      </c>
      <c r="I263" s="16">
        <v>308660.80319999997</v>
      </c>
      <c r="J263" s="16"/>
      <c r="K263" s="16"/>
      <c r="L263" s="4"/>
      <c r="M263" s="4"/>
      <c r="N263" s="2"/>
      <c r="O263" s="3"/>
      <c r="P263" s="11"/>
      <c r="Q263" s="4"/>
      <c r="R263" s="7"/>
      <c r="S263" s="17"/>
      <c r="T263" s="4"/>
      <c r="U263" s="3"/>
      <c r="V263" s="3"/>
      <c r="W263" s="3"/>
      <c r="X263" s="3"/>
      <c r="Y263" s="3"/>
      <c r="Z263" s="3"/>
      <c r="AA263" s="3"/>
    </row>
    <row r="264" spans="2:27" ht="14.25" customHeight="1" x14ac:dyDescent="0.3">
      <c r="B264" s="34">
        <v>5037</v>
      </c>
      <c r="C264" s="18">
        <v>5</v>
      </c>
      <c r="D264" s="4"/>
      <c r="E264" s="4"/>
      <c r="F264" s="3" t="s">
        <v>1</v>
      </c>
      <c r="G264" s="5" t="str">
        <f t="shared" si="30"/>
        <v>37</v>
      </c>
      <c r="H264" s="7">
        <v>606.32600000000002</v>
      </c>
      <c r="I264" s="16">
        <v>147343.69400000002</v>
      </c>
      <c r="J264" s="16"/>
      <c r="K264" s="16"/>
      <c r="L264" s="4"/>
      <c r="M264" s="4"/>
      <c r="N264" s="2"/>
      <c r="O264" s="3"/>
      <c r="P264" s="11"/>
      <c r="Q264" s="4"/>
      <c r="R264" s="7"/>
      <c r="S264" s="17"/>
      <c r="T264" s="4"/>
      <c r="U264" s="3"/>
      <c r="V264" s="3"/>
      <c r="W264" s="3"/>
      <c r="X264" s="3"/>
      <c r="Y264" s="3"/>
      <c r="Z264" s="3"/>
      <c r="AA264" s="3"/>
    </row>
    <row r="265" spans="2:27" ht="14.25" customHeight="1" x14ac:dyDescent="0.3">
      <c r="B265" s="34">
        <v>5038</v>
      </c>
      <c r="C265" s="18">
        <v>5</v>
      </c>
      <c r="D265" s="4"/>
      <c r="E265" s="4"/>
      <c r="F265" s="3" t="s">
        <v>1</v>
      </c>
      <c r="G265" s="5" t="str">
        <f t="shared" si="30"/>
        <v>38</v>
      </c>
      <c r="H265" s="7">
        <v>1273.5536</v>
      </c>
      <c r="I265" s="16">
        <v>448574.6704</v>
      </c>
      <c r="J265" s="16"/>
      <c r="K265" s="16"/>
      <c r="L265" s="4"/>
      <c r="M265" s="4"/>
      <c r="N265" s="2"/>
      <c r="O265" s="3"/>
      <c r="P265" s="11"/>
      <c r="Q265" s="4"/>
      <c r="R265" s="7"/>
      <c r="S265" s="17"/>
      <c r="T265" s="4"/>
      <c r="U265" s="3"/>
      <c r="V265" s="3"/>
      <c r="W265" s="3"/>
      <c r="X265" s="3"/>
      <c r="Y265" s="3"/>
      <c r="Z265" s="3"/>
      <c r="AA265" s="3"/>
    </row>
    <row r="266" spans="2:27" ht="14.25" customHeight="1" x14ac:dyDescent="0.3">
      <c r="B266" s="34">
        <v>5041</v>
      </c>
      <c r="C266" s="18">
        <v>5</v>
      </c>
      <c r="D266" s="4"/>
      <c r="E266" s="4"/>
      <c r="F266" s="3" t="s">
        <v>1</v>
      </c>
      <c r="G266" s="5" t="str">
        <f t="shared" si="30"/>
        <v>41</v>
      </c>
      <c r="H266" s="7">
        <v>798.28440000000001</v>
      </c>
      <c r="I266" s="16">
        <v>255337.89800000002</v>
      </c>
      <c r="J266" s="16"/>
      <c r="K266" s="16"/>
      <c r="L266" s="4"/>
      <c r="M266" s="4"/>
      <c r="N266" s="2"/>
      <c r="O266" s="3"/>
      <c r="P266" s="11"/>
      <c r="Q266" s="4"/>
      <c r="R266" s="7"/>
      <c r="S266" s="17"/>
      <c r="T266" s="4"/>
      <c r="U266" s="3"/>
      <c r="V266" s="3"/>
      <c r="W266" s="3"/>
      <c r="X266" s="3"/>
      <c r="Y266" s="3"/>
      <c r="Z266" s="3"/>
      <c r="AA266" s="3"/>
    </row>
    <row r="267" spans="2:27" ht="14.25" customHeight="1" x14ac:dyDescent="0.3">
      <c r="B267" s="34">
        <v>5043</v>
      </c>
      <c r="C267" s="18">
        <v>5</v>
      </c>
      <c r="D267" s="4"/>
      <c r="E267" s="4"/>
      <c r="F267" s="3" t="s">
        <v>1</v>
      </c>
      <c r="G267" s="5" t="str">
        <f t="shared" si="30"/>
        <v>43</v>
      </c>
      <c r="H267" s="7">
        <v>598.5788</v>
      </c>
      <c r="I267" s="16">
        <v>175773.58559999999</v>
      </c>
      <c r="J267" s="16"/>
      <c r="K267" s="16"/>
      <c r="L267" s="4"/>
      <c r="M267" s="4"/>
      <c r="N267" s="2"/>
      <c r="O267" s="3"/>
      <c r="P267" s="11"/>
      <c r="Q267" s="4"/>
      <c r="R267" s="7"/>
      <c r="S267" s="17"/>
      <c r="T267" s="4"/>
      <c r="U267" s="3"/>
      <c r="V267" s="3"/>
      <c r="W267" s="3"/>
      <c r="X267" s="3"/>
      <c r="Y267" s="3"/>
      <c r="Z267" s="3"/>
      <c r="AA267" s="3"/>
    </row>
    <row r="268" spans="2:27" ht="14.25" customHeight="1" x14ac:dyDescent="0.3">
      <c r="B268" s="34">
        <v>5044</v>
      </c>
      <c r="C268" s="18">
        <v>5</v>
      </c>
      <c r="D268" s="4"/>
      <c r="E268" s="4"/>
      <c r="F268" s="3" t="s">
        <v>1</v>
      </c>
      <c r="G268" s="5" t="str">
        <f t="shared" si="30"/>
        <v>44</v>
      </c>
      <c r="H268" s="7">
        <v>1238.5835999999999</v>
      </c>
      <c r="I268" s="16">
        <v>322610.73919999995</v>
      </c>
      <c r="J268" s="16"/>
      <c r="K268" s="16"/>
      <c r="L268" s="4"/>
      <c r="M268" s="4"/>
      <c r="N268" s="2"/>
      <c r="O268" s="3"/>
      <c r="P268" s="11"/>
      <c r="Q268" s="4"/>
      <c r="R268" s="7"/>
      <c r="S268" s="17"/>
      <c r="T268" s="4"/>
      <c r="U268" s="3"/>
      <c r="V268" s="3"/>
      <c r="W268" s="3"/>
      <c r="X268" s="3"/>
      <c r="Y268" s="3"/>
      <c r="Z268" s="3"/>
      <c r="AA268" s="3"/>
    </row>
    <row r="269" spans="2:27" ht="14.25" customHeight="1" x14ac:dyDescent="0.3">
      <c r="B269" s="34">
        <v>5047</v>
      </c>
      <c r="C269" s="18">
        <v>5</v>
      </c>
      <c r="D269" s="4"/>
      <c r="E269" s="4"/>
      <c r="F269" s="3" t="s">
        <v>1</v>
      </c>
      <c r="G269" s="5" t="str">
        <f t="shared" si="30"/>
        <v>47</v>
      </c>
      <c r="H269" s="7">
        <v>794.51840000000004</v>
      </c>
      <c r="I269" s="16">
        <v>279191.25599999999</v>
      </c>
      <c r="J269" s="16"/>
      <c r="K269" s="16"/>
      <c r="L269" s="4"/>
      <c r="M269" s="4"/>
      <c r="N269" s="2"/>
      <c r="O269" s="3"/>
      <c r="P269" s="11"/>
      <c r="Q269" s="4"/>
      <c r="R269" s="7"/>
      <c r="S269" s="17"/>
      <c r="T269" s="4"/>
      <c r="U269" s="3"/>
      <c r="V269" s="3"/>
      <c r="W269" s="3"/>
      <c r="X269" s="3"/>
      <c r="Y269" s="3"/>
      <c r="Z269" s="3"/>
      <c r="AA269" s="3"/>
    </row>
    <row r="270" spans="2:27" ht="14.25" customHeight="1" x14ac:dyDescent="0.3">
      <c r="B270" s="34">
        <v>5048</v>
      </c>
      <c r="C270" s="18">
        <v>5</v>
      </c>
      <c r="D270" s="4"/>
      <c r="E270" s="4"/>
      <c r="F270" s="3" t="s">
        <v>1</v>
      </c>
      <c r="G270" s="5" t="str">
        <f t="shared" si="30"/>
        <v>48</v>
      </c>
      <c r="H270" s="7">
        <v>1013.2692</v>
      </c>
      <c r="I270" s="16">
        <v>287996.52960000001</v>
      </c>
      <c r="J270" s="16"/>
      <c r="K270" s="16"/>
      <c r="L270" s="4"/>
      <c r="M270" s="4"/>
      <c r="N270" s="2"/>
      <c r="O270" s="3"/>
      <c r="P270" s="11"/>
      <c r="Q270" s="4"/>
      <c r="R270" s="7"/>
      <c r="S270" s="17"/>
      <c r="T270" s="4"/>
      <c r="U270" s="3"/>
      <c r="V270" s="3"/>
      <c r="W270" s="3"/>
      <c r="X270" s="3"/>
      <c r="Y270" s="3"/>
      <c r="Z270" s="3"/>
      <c r="AA270" s="3"/>
    </row>
    <row r="271" spans="2:27" ht="14.25" customHeight="1" x14ac:dyDescent="0.3">
      <c r="B271" s="34">
        <v>5050</v>
      </c>
      <c r="C271" s="18">
        <v>5</v>
      </c>
      <c r="D271" s="4"/>
      <c r="E271" s="4"/>
      <c r="F271" s="3" t="s">
        <v>1</v>
      </c>
      <c r="G271" s="5" t="str">
        <f t="shared" si="30"/>
        <v>50</v>
      </c>
      <c r="H271" s="7">
        <v>1074.7087999999999</v>
      </c>
      <c r="I271" s="16">
        <v>365868.77759999997</v>
      </c>
      <c r="J271" s="16"/>
      <c r="K271" s="16"/>
      <c r="L271" s="4"/>
      <c r="M271" s="4"/>
      <c r="N271" s="2"/>
      <c r="O271" s="3"/>
      <c r="P271" s="11"/>
      <c r="Q271" s="4"/>
      <c r="R271" s="7"/>
      <c r="S271" s="17"/>
      <c r="T271" s="4"/>
      <c r="U271" s="3"/>
      <c r="V271" s="3"/>
      <c r="W271" s="3"/>
      <c r="X271" s="3"/>
      <c r="Y271" s="3"/>
      <c r="Z271" s="3"/>
      <c r="AA271" s="3"/>
    </row>
    <row r="272" spans="2:27" ht="14.25" customHeight="1" x14ac:dyDescent="0.3">
      <c r="B272" s="34">
        <v>5051</v>
      </c>
      <c r="C272" s="18">
        <v>5</v>
      </c>
      <c r="D272" s="4"/>
      <c r="E272" s="4"/>
      <c r="F272" s="3" t="s">
        <v>1</v>
      </c>
      <c r="G272" s="5" t="str">
        <f t="shared" si="30"/>
        <v>51</v>
      </c>
      <c r="H272" s="7">
        <v>789.24599999999987</v>
      </c>
      <c r="I272" s="16">
        <v>199216.40399999995</v>
      </c>
      <c r="J272" s="16"/>
      <c r="K272" s="16"/>
      <c r="L272" s="4"/>
      <c r="M272" s="4"/>
      <c r="N272" s="2"/>
      <c r="O272" s="3"/>
      <c r="P272" s="11"/>
      <c r="Q272" s="4"/>
      <c r="R272" s="7"/>
      <c r="S272" s="17"/>
      <c r="T272" s="4"/>
      <c r="U272" s="3"/>
      <c r="V272" s="3"/>
      <c r="W272" s="3"/>
      <c r="X272" s="3"/>
      <c r="Y272" s="3"/>
      <c r="Z272" s="3"/>
      <c r="AA272" s="3"/>
    </row>
    <row r="273" spans="1:27" ht="14.25" customHeight="1" x14ac:dyDescent="0.3">
      <c r="A273" s="1"/>
      <c r="B273" s="1"/>
      <c r="C273" s="1"/>
      <c r="D273" s="1"/>
      <c r="E273" s="4"/>
      <c r="F273" s="1"/>
      <c r="G273" s="1"/>
      <c r="H273" s="2"/>
      <c r="I273" s="2"/>
      <c r="J273" s="2"/>
      <c r="K273" s="2"/>
      <c r="L273" s="8"/>
      <c r="M273" s="8"/>
      <c r="N273" s="2"/>
      <c r="O273" s="3"/>
      <c r="P273" s="11"/>
      <c r="Q273" s="11"/>
      <c r="R273" s="7"/>
      <c r="S273" s="17"/>
      <c r="T273" s="4"/>
      <c r="U273" s="3"/>
      <c r="V273" s="3"/>
      <c r="W273" s="3"/>
      <c r="X273" s="3"/>
      <c r="Y273" s="3"/>
      <c r="Z273" s="3"/>
      <c r="AA273" s="3"/>
    </row>
    <row r="274" spans="1:27" ht="14.25" customHeight="1" x14ac:dyDescent="0.3">
      <c r="A274" s="1"/>
      <c r="B274" s="1"/>
      <c r="C274" s="1"/>
      <c r="D274" s="1"/>
      <c r="E274" s="4"/>
      <c r="F274" s="1"/>
      <c r="G274" s="1"/>
      <c r="H274" s="2"/>
      <c r="I274" s="2"/>
      <c r="J274" s="2"/>
      <c r="K274" s="2"/>
      <c r="L274" s="8"/>
      <c r="M274" s="8"/>
      <c r="N274" s="2"/>
      <c r="O274" s="3"/>
      <c r="P274" s="11"/>
      <c r="Q274" s="11"/>
      <c r="R274" s="7"/>
      <c r="S274" s="17"/>
      <c r="T274" s="4"/>
      <c r="U274" s="3"/>
      <c r="V274" s="3"/>
      <c r="W274" s="3"/>
      <c r="X274" s="3"/>
      <c r="Y274" s="3"/>
      <c r="Z274" s="3"/>
      <c r="AA274" s="3"/>
    </row>
    <row r="275" spans="1:27" ht="14.25" customHeight="1" x14ac:dyDescent="0.3">
      <c r="A275" s="1"/>
      <c r="B275" s="37"/>
      <c r="C275" s="1"/>
      <c r="D275" s="1"/>
      <c r="E275" s="4"/>
      <c r="F275" s="1"/>
      <c r="G275" s="1"/>
      <c r="H275" s="2"/>
      <c r="I275" s="37"/>
      <c r="J275" s="2"/>
      <c r="K275" s="2"/>
      <c r="L275" s="8"/>
      <c r="M275" s="8"/>
      <c r="N275" s="2"/>
      <c r="O275" s="3"/>
      <c r="P275" s="11"/>
      <c r="Q275" s="11"/>
      <c r="R275" s="7"/>
      <c r="S275" s="17"/>
      <c r="T275" s="4"/>
      <c r="U275" s="3"/>
      <c r="V275" s="3"/>
      <c r="W275" s="3"/>
      <c r="X275" s="3"/>
      <c r="Y275" s="3"/>
      <c r="Z275" s="3"/>
      <c r="AA275" s="3"/>
    </row>
    <row r="276" spans="1:27" ht="14.25" customHeight="1" x14ac:dyDescent="0.3">
      <c r="A276" s="1"/>
      <c r="B276" s="1"/>
      <c r="C276" s="1"/>
      <c r="D276" s="1"/>
      <c r="E276" s="4"/>
      <c r="F276" s="1"/>
      <c r="G276" s="1"/>
      <c r="H276" s="2"/>
      <c r="I276" s="2"/>
      <c r="J276" s="2"/>
      <c r="K276" s="2"/>
      <c r="L276" s="8"/>
      <c r="M276" s="8"/>
      <c r="N276" s="2"/>
      <c r="O276" s="3"/>
      <c r="P276" s="11"/>
      <c r="Q276" s="11"/>
      <c r="R276" s="7"/>
      <c r="S276" s="17"/>
      <c r="T276" s="4"/>
      <c r="U276" s="3"/>
      <c r="V276" s="3"/>
      <c r="W276" s="3"/>
      <c r="X276" s="3"/>
      <c r="Y276" s="3"/>
      <c r="Z276" s="3"/>
      <c r="AA276" s="3"/>
    </row>
    <row r="277" spans="1:27" ht="14.25" customHeight="1" x14ac:dyDescent="0.3">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3">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3">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3">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3">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3">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3">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3">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3">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3">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3">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3">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3">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3">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3">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3">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3">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3">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3">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3">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3">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3">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3">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3">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3">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3">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3">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3">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3">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3">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3">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3">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3">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3">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3">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3">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3">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3">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3">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3">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3">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3">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3">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3">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3">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3">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3">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3">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3">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3">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3">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3">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3">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3">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3">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3">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3">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3">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3">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3">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3">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3">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3">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3">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3">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3">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3">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3">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3">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3">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3">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3">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3">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3">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3">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3">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3">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3">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3">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3">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3">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3">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3">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3">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3">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3">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3">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3">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3">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3">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3">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3">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3">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3">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3">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3">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3">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3">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3">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3">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3">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3">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3">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3">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3">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3">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3">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3">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3">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3">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3">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3">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3">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3">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3">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3">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3">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3">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3">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3">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3">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3">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3">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3">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3">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3">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3">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3">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3">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3">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3">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3">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3">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3">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3">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3">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3">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3">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3">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3">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3">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3">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3">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3">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3">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3">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3">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3">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3">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3">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3">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3">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3">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3">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3">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3">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3">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3">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3">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3">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3">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3">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3">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3">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3">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3">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3">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3">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3">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3">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3">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3">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3">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3">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3">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3">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3">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3">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3">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3">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3">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3">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3">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3">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3">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3">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3">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3">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3">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3">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3">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3">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3">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3">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3">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3">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3">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3">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3">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3">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3">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3">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3">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3">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3">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3">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3">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3">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3">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3">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3">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3">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3">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3">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3">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3">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3">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3">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3">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3">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3">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3">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3">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3">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3">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3">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3">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3">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3">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3">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3">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3">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3">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3">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3">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3">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3">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3">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3">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3">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3">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3">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3">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3">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3">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3">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3">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3">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3">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3">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3">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3">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3">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3">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3">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3">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3">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3">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3">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3">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3">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3">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3">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3">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3">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3">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3">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3">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3">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3">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3">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3">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3">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3">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3">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3">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3">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3">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3">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3">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3">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3">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3">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3">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3">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3">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3">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3">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3">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3">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3">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3">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3">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3">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3">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3">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3">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3">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3">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3">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3">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3">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3">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3">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3">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3">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3">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3">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3">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3">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3">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3">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3">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3">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3">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3">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3">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3">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3">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3">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3">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3">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3">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3">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3">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3">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3">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3">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3">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3">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3">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3">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3">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3">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3">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3">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3">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3">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3">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3">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3">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3">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3">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3">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3">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3">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3">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3">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3">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3">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3">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3">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3">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3">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3">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3">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3">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3">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3">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3">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3">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3">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3">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3">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3">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3">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3">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3">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3">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3">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3">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3">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3">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3">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3">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3">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3">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3">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3">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3">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3">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3">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3">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3">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3">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3">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3">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3">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3">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3">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3">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3">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3">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3">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3">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3">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3">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3">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3">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3">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3">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3">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3">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3">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3">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3">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3">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3">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3">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3">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3">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3">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3">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3">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3">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3">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3">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3">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3">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3">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3">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3">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3">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3">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3">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3">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3">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3">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3">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3">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3">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3">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3">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3">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3">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3">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3">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3">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3">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3">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3">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3">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3">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3">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3">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3">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3">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3">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3">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3">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3">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3">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3">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3">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3">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3">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3">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3">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3">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3">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3">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3">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3">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3">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3">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3">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3">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3">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3">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3">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3">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3">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3">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3">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3">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3">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3">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3">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3">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3">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3">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3">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3">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3">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3">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3">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3">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3">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3">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3">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3">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3">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3">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3">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3">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3">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3">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3">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3">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3">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3">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3">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3">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3">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3">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3">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3">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3">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3">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3">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3">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3">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3">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3">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3">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3">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3">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3">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3">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3">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3">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3">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3">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3">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3">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3">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3">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3">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3">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3">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3">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3">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3">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3">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3">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3">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3">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3">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3">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3">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3">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3">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3">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3">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3">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3">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3">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3">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3">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3">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3">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3">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3">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3">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3">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3">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3">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3">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3">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3">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3">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3">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3">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3">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3">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3">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3">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3">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3">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3">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3">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3">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3">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3">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3">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3">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3">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3">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3">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3">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3">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3">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3">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3">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3">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3">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3">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3">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3">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3">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3">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3">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3">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3">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3">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3">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3">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3">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3">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3">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3">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3">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3">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3">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3">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3">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3">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3">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3">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3">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3">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3">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3">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3">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3">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3">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3">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3">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3">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3">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3">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3">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3">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3">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3">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3">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3">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3">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3">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3">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3">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3">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3">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3">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3">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3">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3">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3">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3">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3">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row r="917" spans="1:27" ht="14.25" customHeight="1" x14ac:dyDescent="0.3">
      <c r="A917" s="1"/>
      <c r="B917" s="1"/>
      <c r="C917" s="1"/>
      <c r="D917" s="1"/>
      <c r="E917" s="4"/>
      <c r="F917" s="1"/>
      <c r="G917" s="1"/>
      <c r="H917" s="2"/>
      <c r="I917" s="2"/>
      <c r="J917" s="2"/>
      <c r="K917" s="2"/>
      <c r="L917" s="8"/>
      <c r="M917" s="8"/>
      <c r="N917" s="2"/>
      <c r="O917" s="3"/>
      <c r="P917" s="4"/>
      <c r="Q917" s="4"/>
      <c r="R917" s="4"/>
      <c r="S917" s="4"/>
      <c r="T917" s="4"/>
      <c r="U917" s="3"/>
      <c r="V917" s="3"/>
      <c r="W917" s="3"/>
      <c r="X917" s="3"/>
      <c r="Y917" s="3"/>
      <c r="Z917" s="3"/>
      <c r="AA917" s="3"/>
    </row>
    <row r="918" spans="1:27" ht="14.25" customHeight="1" x14ac:dyDescent="0.3">
      <c r="A918" s="1"/>
      <c r="B918" s="1"/>
      <c r="C918" s="1"/>
      <c r="D918" s="1"/>
      <c r="E918" s="4"/>
      <c r="F918" s="1"/>
      <c r="G918" s="1"/>
      <c r="H918" s="2"/>
      <c r="I918" s="2"/>
      <c r="J918" s="2"/>
      <c r="K918" s="2"/>
      <c r="L918" s="8"/>
      <c r="M918" s="8"/>
      <c r="N918" s="2"/>
      <c r="O918" s="3"/>
      <c r="P918" s="4"/>
      <c r="Q918" s="4"/>
      <c r="R918" s="4"/>
      <c r="S918" s="4"/>
      <c r="T918" s="4"/>
      <c r="U918" s="3"/>
      <c r="V918" s="3"/>
      <c r="W918" s="3"/>
      <c r="X918" s="3"/>
      <c r="Y918" s="3"/>
      <c r="Z918" s="3"/>
      <c r="AA918" s="3"/>
    </row>
    <row r="919" spans="1:27" ht="14.25" customHeight="1" x14ac:dyDescent="0.3">
      <c r="A919" s="1"/>
      <c r="B919" s="1"/>
      <c r="C919" s="1"/>
      <c r="D919" s="1"/>
      <c r="E919" s="4"/>
      <c r="F919" s="1"/>
      <c r="G919" s="1"/>
      <c r="H919" s="2"/>
      <c r="I919" s="2"/>
      <c r="J919" s="2"/>
      <c r="K919" s="2"/>
      <c r="L919" s="8"/>
      <c r="M919" s="8"/>
      <c r="N919" s="2"/>
      <c r="O919" s="3"/>
      <c r="P919" s="4"/>
      <c r="Q919" s="4"/>
      <c r="R919" s="4"/>
      <c r="S919" s="4"/>
      <c r="T919" s="4"/>
      <c r="U919" s="3"/>
      <c r="V919" s="3"/>
      <c r="W919" s="3"/>
      <c r="X919" s="3"/>
      <c r="Y919" s="3"/>
      <c r="Z919" s="3"/>
      <c r="AA919" s="3"/>
    </row>
    <row r="920" spans="1:27" ht="14.25" customHeight="1" x14ac:dyDescent="0.3">
      <c r="A920" s="1"/>
      <c r="B920" s="1"/>
      <c r="C920" s="1"/>
      <c r="D920" s="1"/>
      <c r="E920" s="4"/>
      <c r="F920" s="1"/>
      <c r="G920" s="1"/>
      <c r="H920" s="2"/>
      <c r="I920" s="2"/>
      <c r="J920" s="2"/>
      <c r="K920" s="2"/>
      <c r="L920" s="8"/>
      <c r="M920" s="8"/>
      <c r="N920" s="2"/>
      <c r="O920" s="3"/>
      <c r="P920" s="4"/>
      <c r="Q920" s="4"/>
      <c r="R920" s="4"/>
      <c r="S920" s="4"/>
      <c r="T920" s="4"/>
      <c r="U920" s="3"/>
      <c r="V920" s="3"/>
      <c r="W920" s="3"/>
      <c r="X920" s="3"/>
      <c r="Y920" s="3"/>
      <c r="Z920" s="3"/>
      <c r="AA920" s="3"/>
    </row>
  </sheetData>
  <sortState xmlns:xlrd2="http://schemas.microsoft.com/office/spreadsheetml/2017/richdata2" ref="B6:AA272">
    <sortCondition ref="P6:P272"/>
  </sortState>
  <mergeCells count="2">
    <mergeCell ref="B4:J4"/>
    <mergeCell ref="L4:AA4"/>
  </mergeCells>
  <conditionalFormatting sqref="F79">
    <cfRule type="notContainsBlanks" dxfId="0" priority="1">
      <formula>LEN(TRIM(F79))&gt;0</formula>
    </cfRule>
  </conditionalFormatting>
  <dataValidations count="3">
    <dataValidation type="list" allowBlank="1" showErrorMessage="1" sqref="J273:M920 R205:R276 K6:K272 J6:J43 J45:J272" xr:uid="{00000000-0002-0000-0000-000000000000}">
      <formula1>"Продаден,Лесно продаваем,Нормално продаваем,Трудно продаваем"</formula1>
    </dataValidation>
    <dataValidation allowBlank="1" showErrorMessage="1" sqref="B1:B3 C5:C1048576" xr:uid="{00000000-0002-0000-0000-000001000000}"/>
    <dataValidation type="list" allowBlank="1" showErrorMessage="1" sqref="C6:C920" xr:uid="{00000000-0002-0000-0000-000002000000}">
      <formula1>"Ф1,Ф2,Ф3,Ф4,Ф5,Ф6,Ф7"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'Tasks 6,7'!#REF!</xm:f>
          </x14:formula1>
          <xm:sqref>W1:W3 W5:W1048576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1412-EA0B-443B-AF04-4E1F30BE9CF6}">
  <dimension ref="B1:E19"/>
  <sheetViews>
    <sheetView workbookViewId="0">
      <selection activeCell="D16" sqref="D16"/>
    </sheetView>
  </sheetViews>
  <sheetFormatPr defaultRowHeight="11.4" x14ac:dyDescent="0.2"/>
  <cols>
    <col min="1" max="1" width="2" style="32" customWidth="1"/>
    <col min="2" max="2" width="11" style="32" customWidth="1"/>
    <col min="3" max="3" width="14.88671875" style="32" bestFit="1" customWidth="1"/>
    <col min="4" max="4" width="18.5546875" style="32" bestFit="1" customWidth="1"/>
    <col min="5" max="16384" width="8.88671875" style="32"/>
  </cols>
  <sheetData>
    <row r="1" spans="2:5" ht="15.6" x14ac:dyDescent="0.2">
      <c r="B1" s="24" t="s">
        <v>527</v>
      </c>
    </row>
    <row r="2" spans="2:5" ht="12" x14ac:dyDescent="0.2">
      <c r="B2" s="25" t="s">
        <v>534</v>
      </c>
    </row>
    <row r="4" spans="2:5" ht="12" x14ac:dyDescent="0.25">
      <c r="B4" s="33" t="s">
        <v>544</v>
      </c>
    </row>
    <row r="5" spans="2:5" ht="12" x14ac:dyDescent="0.2">
      <c r="B5" s="29"/>
      <c r="C5" s="39"/>
      <c r="D5" s="39"/>
    </row>
    <row r="6" spans="2:5" ht="12" x14ac:dyDescent="0.2">
      <c r="B6" s="26"/>
      <c r="C6" s="29"/>
      <c r="D6" s="30"/>
    </row>
    <row r="7" spans="2:5" x14ac:dyDescent="0.2">
      <c r="B7" s="45"/>
      <c r="C7" s="46" t="s">
        <v>551</v>
      </c>
      <c r="D7" s="46" t="s">
        <v>552</v>
      </c>
    </row>
    <row r="8" spans="2:5" x14ac:dyDescent="0.2">
      <c r="B8" s="47" t="s">
        <v>553</v>
      </c>
      <c r="C8" s="55" t="s">
        <v>557</v>
      </c>
      <c r="D8" s="55" t="s">
        <v>558</v>
      </c>
    </row>
    <row r="9" spans="2:5" x14ac:dyDescent="0.2">
      <c r="B9" s="47" t="s">
        <v>37</v>
      </c>
      <c r="C9" s="46" t="s">
        <v>554</v>
      </c>
      <c r="D9" s="46" t="s">
        <v>555</v>
      </c>
    </row>
    <row r="10" spans="2:5" x14ac:dyDescent="0.2">
      <c r="B10" s="45" t="s">
        <v>26</v>
      </c>
      <c r="C10" s="55" t="s">
        <v>554</v>
      </c>
      <c r="D10" s="55" t="s">
        <v>556</v>
      </c>
    </row>
    <row r="13" spans="2:5" ht="12.6" thickBot="1" x14ac:dyDescent="0.25">
      <c r="B13" s="61" t="s">
        <v>578</v>
      </c>
      <c r="C13" s="62" t="s">
        <v>551</v>
      </c>
      <c r="D13" s="63" t="s">
        <v>552</v>
      </c>
      <c r="E13" s="63" t="s">
        <v>579</v>
      </c>
    </row>
    <row r="14" spans="2:5" x14ac:dyDescent="0.2">
      <c r="B14" s="56" t="s">
        <v>553</v>
      </c>
      <c r="C14" s="57" t="s">
        <v>554</v>
      </c>
      <c r="D14" s="58" t="s">
        <v>555</v>
      </c>
      <c r="E14" s="59" t="s">
        <v>580</v>
      </c>
    </row>
    <row r="15" spans="2:5" x14ac:dyDescent="0.2">
      <c r="B15" s="56" t="s">
        <v>37</v>
      </c>
      <c r="C15" s="57" t="s">
        <v>554</v>
      </c>
      <c r="D15" s="58" t="s">
        <v>555</v>
      </c>
      <c r="E15" s="59" t="s">
        <v>581</v>
      </c>
    </row>
    <row r="16" spans="2:5" x14ac:dyDescent="0.2">
      <c r="B16" s="57" t="s">
        <v>26</v>
      </c>
      <c r="C16" s="57" t="s">
        <v>582</v>
      </c>
      <c r="D16" s="60" t="s">
        <v>523</v>
      </c>
      <c r="E16" s="59" t="s">
        <v>583</v>
      </c>
    </row>
    <row r="19" spans="2:2" x14ac:dyDescent="0.2">
      <c r="B19" s="26"/>
    </row>
  </sheetData>
  <dataValidations disablePrompts="1" count="1">
    <dataValidation allowBlank="1" showErrorMessage="1" sqref="B1:B2" xr:uid="{1DB827EC-AB80-4107-8094-0A8114D87B5B}"/>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BF6-8135-42D7-A181-4E7F0B86819A}">
  <dimension ref="B1:P43"/>
  <sheetViews>
    <sheetView topLeftCell="B7" workbookViewId="0">
      <selection activeCell="Y45" sqref="Y45"/>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535</v>
      </c>
    </row>
    <row r="4" spans="2:4" ht="12" x14ac:dyDescent="0.25">
      <c r="B4" s="33" t="s">
        <v>550</v>
      </c>
    </row>
    <row r="5" spans="2:4" ht="12" x14ac:dyDescent="0.25">
      <c r="B5" s="33" t="s">
        <v>542</v>
      </c>
      <c r="C5" s="39"/>
      <c r="D5" s="39"/>
    </row>
    <row r="6" spans="2:4" ht="12" x14ac:dyDescent="0.2">
      <c r="B6" s="44" t="s">
        <v>546</v>
      </c>
      <c r="C6" s="29"/>
      <c r="D6" s="30"/>
    </row>
    <row r="7" spans="2:4" ht="12" x14ac:dyDescent="0.25">
      <c r="B7" s="33" t="s">
        <v>543</v>
      </c>
      <c r="C7" s="29"/>
      <c r="D7" s="30"/>
    </row>
    <row r="8" spans="2:4" ht="12" x14ac:dyDescent="0.2">
      <c r="B8" s="26"/>
      <c r="C8" s="28"/>
      <c r="D8" s="27"/>
    </row>
    <row r="43" spans="5:16" x14ac:dyDescent="0.2">
      <c r="E43" s="32" t="s">
        <v>559</v>
      </c>
      <c r="P43" s="32" t="s">
        <v>560</v>
      </c>
    </row>
  </sheetData>
  <dataValidations count="1">
    <dataValidation allowBlank="1" showErrorMessage="1" sqref="B1:B2" xr:uid="{B1FC3192-AC7F-4321-8673-4F49FE1F8C37}"/>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0D9D-B362-4C01-82F7-1CA90CE5A76C}">
  <dimension ref="B1:D36"/>
  <sheetViews>
    <sheetView workbookViewId="0">
      <selection activeCell="D7" sqref="D7"/>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536</v>
      </c>
    </row>
    <row r="4" spans="2:4" ht="12" x14ac:dyDescent="0.25">
      <c r="B4" s="33" t="s">
        <v>547</v>
      </c>
    </row>
    <row r="5" spans="2:4" ht="12" x14ac:dyDescent="0.25">
      <c r="B5" s="33"/>
      <c r="C5" s="39"/>
      <c r="D5" s="39"/>
    </row>
    <row r="6" spans="2:4" x14ac:dyDescent="0.2">
      <c r="D6" s="32" t="s">
        <v>584</v>
      </c>
    </row>
    <row r="36" spans="4:4" x14ac:dyDescent="0.2">
      <c r="D36" s="32" t="s">
        <v>561</v>
      </c>
    </row>
  </sheetData>
  <dataValidations count="1">
    <dataValidation allowBlank="1" showErrorMessage="1" sqref="B1:B2" xr:uid="{28797BD3-DDBC-4B39-8885-EAD538643DE2}"/>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B83C-E8B8-4DA4-8E51-8D3B78A1B9E1}">
  <dimension ref="B1:J169"/>
  <sheetViews>
    <sheetView workbookViewId="0">
      <selection activeCell="T21" sqref="T21"/>
    </sheetView>
  </sheetViews>
  <sheetFormatPr defaultRowHeight="11.4" x14ac:dyDescent="0.2"/>
  <cols>
    <col min="1" max="1" width="2" style="32" customWidth="1"/>
    <col min="2" max="2" width="7.33203125" style="32" customWidth="1"/>
    <col min="3" max="3" width="14.88671875" style="32" bestFit="1" customWidth="1"/>
    <col min="4" max="4" width="17" style="32" customWidth="1"/>
    <col min="5" max="5" width="18.21875" style="32" bestFit="1" customWidth="1"/>
    <col min="6" max="6" width="18.6640625" style="32" bestFit="1" customWidth="1"/>
    <col min="7" max="16384" width="8.88671875" style="32"/>
  </cols>
  <sheetData>
    <row r="1" spans="2:10" ht="15.6" x14ac:dyDescent="0.2">
      <c r="B1" s="24" t="s">
        <v>527</v>
      </c>
    </row>
    <row r="2" spans="2:10" ht="12" x14ac:dyDescent="0.2">
      <c r="B2" s="25" t="s">
        <v>537</v>
      </c>
    </row>
    <row r="4" spans="2:10" ht="12" x14ac:dyDescent="0.25">
      <c r="B4" s="33" t="s">
        <v>545</v>
      </c>
    </row>
    <row r="5" spans="2:10" ht="12" x14ac:dyDescent="0.25">
      <c r="B5" s="33" t="s">
        <v>538</v>
      </c>
      <c r="C5" s="39"/>
      <c r="D5" s="39"/>
    </row>
    <row r="6" spans="2:10" ht="12" x14ac:dyDescent="0.25">
      <c r="B6" s="33"/>
      <c r="C6" s="39"/>
      <c r="D6" s="39"/>
    </row>
    <row r="7" spans="2:10" ht="12" x14ac:dyDescent="0.25">
      <c r="B7" s="33"/>
      <c r="C7" s="39"/>
      <c r="D7" s="39"/>
    </row>
    <row r="8" spans="2:10" ht="14.4" x14ac:dyDescent="0.3">
      <c r="J8" s="31"/>
    </row>
    <row r="9" spans="2:10" ht="14.4" x14ac:dyDescent="0.3">
      <c r="C9" s="49" t="s">
        <v>25</v>
      </c>
      <c r="D9" s="49" t="s">
        <v>562</v>
      </c>
      <c r="E9" s="49" t="s">
        <v>563</v>
      </c>
      <c r="F9" s="49" t="s">
        <v>564</v>
      </c>
      <c r="J9" s="31"/>
    </row>
    <row r="10" spans="2:10" ht="14.4" x14ac:dyDescent="0.3">
      <c r="C10" s="48" t="s">
        <v>5</v>
      </c>
      <c r="D10" s="45">
        <f>COUNTIF('365RE'!$V$6:$V$201,'Tasks 6,7'!C10)</f>
        <v>177</v>
      </c>
      <c r="E10" s="64">
        <f>D10/$D$18</f>
        <v>0.90769230769230769</v>
      </c>
      <c r="F10" s="64">
        <f>E10</f>
        <v>0.90769230769230769</v>
      </c>
      <c r="J10" s="31"/>
    </row>
    <row r="11" spans="2:10" ht="14.4" x14ac:dyDescent="0.3">
      <c r="C11" s="48" t="s">
        <v>490</v>
      </c>
      <c r="D11" s="45">
        <f>COUNTIF('365RE'!$V$6:$V$201,'Tasks 6,7'!C11)</f>
        <v>7</v>
      </c>
      <c r="E11" s="64">
        <f>D11/$D$18</f>
        <v>3.5897435897435895E-2</v>
      </c>
      <c r="F11" s="64">
        <f>F10+E11</f>
        <v>0.94358974358974357</v>
      </c>
      <c r="J11" s="31"/>
    </row>
    <row r="12" spans="2:10" ht="14.4" x14ac:dyDescent="0.3">
      <c r="B12" s="33"/>
      <c r="C12" s="48" t="s">
        <v>6</v>
      </c>
      <c r="D12" s="45">
        <f>COUNTIF('365RE'!$V$6:$V$201,'Tasks 6,7'!C12)</f>
        <v>4</v>
      </c>
      <c r="E12" s="64">
        <f>D12/$D$18</f>
        <v>2.0512820512820513E-2</v>
      </c>
      <c r="F12" s="64">
        <f>F11+E12</f>
        <v>0.96410256410256412</v>
      </c>
      <c r="J12" s="31"/>
    </row>
    <row r="13" spans="2:10" ht="14.4" x14ac:dyDescent="0.3">
      <c r="C13" s="48" t="s">
        <v>7</v>
      </c>
      <c r="D13" s="45">
        <f>COUNTIF('365RE'!$V$6:$V$201,'Tasks 6,7'!C13)</f>
        <v>2</v>
      </c>
      <c r="E13" s="64">
        <f>D13/$D$18</f>
        <v>1.0256410256410256E-2</v>
      </c>
      <c r="F13" s="64">
        <f>F12+E13</f>
        <v>0.97435897435897434</v>
      </c>
      <c r="J13" s="31"/>
    </row>
    <row r="14" spans="2:10" ht="14.4" x14ac:dyDescent="0.3">
      <c r="C14" s="48" t="s">
        <v>9</v>
      </c>
      <c r="D14" s="45">
        <f>COUNTIF('365RE'!$V$6:$V$201,'Tasks 6,7'!C14)</f>
        <v>2</v>
      </c>
      <c r="E14" s="64">
        <f>D14/$D$18</f>
        <v>1.0256410256410256E-2</v>
      </c>
      <c r="F14" s="64">
        <f>F13+E14</f>
        <v>0.98461538461538456</v>
      </c>
      <c r="J14" s="31"/>
    </row>
    <row r="15" spans="2:10" ht="14.4" x14ac:dyDescent="0.3">
      <c r="C15" s="48" t="s">
        <v>8</v>
      </c>
      <c r="D15" s="45">
        <f>COUNTIF('365RE'!$V$6:$V$201,'Tasks 6,7'!C15)</f>
        <v>1</v>
      </c>
      <c r="E15" s="64">
        <f>D15/$D$18</f>
        <v>5.1282051282051282E-3</v>
      </c>
      <c r="F15" s="64">
        <f>F14+E15</f>
        <v>0.98974358974358967</v>
      </c>
      <c r="J15" s="31"/>
    </row>
    <row r="16" spans="2:10" ht="14.4" x14ac:dyDescent="0.3">
      <c r="C16" s="48" t="s">
        <v>10</v>
      </c>
      <c r="D16" s="45">
        <f>COUNTIF('365RE'!$V$6:$V$201,'Tasks 6,7'!C16)</f>
        <v>1</v>
      </c>
      <c r="E16" s="64">
        <f>D16/$D$18</f>
        <v>5.1282051282051282E-3</v>
      </c>
      <c r="F16" s="64">
        <f>F15+E16</f>
        <v>0.99487179487179478</v>
      </c>
      <c r="J16" s="31"/>
    </row>
    <row r="17" spans="3:10" ht="14.4" x14ac:dyDescent="0.3">
      <c r="C17" s="48" t="s">
        <v>11</v>
      </c>
      <c r="D17" s="45">
        <f>COUNTIF('365RE'!$V$6:$V$201,'Tasks 6,7'!C17)</f>
        <v>1</v>
      </c>
      <c r="E17" s="64">
        <f>D17/$D$18</f>
        <v>5.1282051282051282E-3</v>
      </c>
      <c r="F17" s="64">
        <f>F16+E17</f>
        <v>0.99999999999999989</v>
      </c>
      <c r="J17" s="31"/>
    </row>
    <row r="18" spans="3:10" ht="14.4" x14ac:dyDescent="0.3">
      <c r="C18" s="32" t="s">
        <v>565</v>
      </c>
      <c r="D18" s="32">
        <f>SUM(D10:D17)</f>
        <v>195</v>
      </c>
      <c r="E18" s="51">
        <f>SUM(E10:E17)</f>
        <v>0.99999999999999989</v>
      </c>
      <c r="J18" s="31"/>
    </row>
    <row r="19" spans="3:10" ht="14.4" x14ac:dyDescent="0.3">
      <c r="J19" s="31"/>
    </row>
    <row r="20" spans="3:10" ht="14.4" x14ac:dyDescent="0.3">
      <c r="J20" s="31"/>
    </row>
    <row r="21" spans="3:10" ht="14.4" x14ac:dyDescent="0.3">
      <c r="J21" s="31"/>
    </row>
    <row r="22" spans="3:10" ht="14.4" x14ac:dyDescent="0.3">
      <c r="J22" s="31"/>
    </row>
    <row r="23" spans="3:10" ht="14.4" x14ac:dyDescent="0.3">
      <c r="J23" s="31"/>
    </row>
    <row r="24" spans="3:10" ht="14.4" x14ac:dyDescent="0.3">
      <c r="J24" s="31"/>
    </row>
    <row r="25" spans="3:10" ht="14.4" x14ac:dyDescent="0.3">
      <c r="J25" s="31"/>
    </row>
    <row r="26" spans="3:10" ht="14.4" x14ac:dyDescent="0.3">
      <c r="J26" s="31"/>
    </row>
    <row r="27" spans="3:10" ht="14.4" x14ac:dyDescent="0.3">
      <c r="J27" s="31"/>
    </row>
    <row r="28" spans="3:10" ht="14.4" x14ac:dyDescent="0.3">
      <c r="J28" s="31"/>
    </row>
    <row r="29" spans="3:10" ht="14.4" x14ac:dyDescent="0.3">
      <c r="J29" s="31"/>
    </row>
    <row r="30" spans="3:10" ht="14.4" x14ac:dyDescent="0.3">
      <c r="J30" s="31"/>
    </row>
    <row r="31" spans="3:10" ht="14.4" x14ac:dyDescent="0.3">
      <c r="J31" s="31"/>
    </row>
    <row r="32" spans="3:10" ht="14.4" x14ac:dyDescent="0.3">
      <c r="J32" s="31"/>
    </row>
    <row r="33" spans="10:10" ht="14.4" x14ac:dyDescent="0.3">
      <c r="J33" s="31"/>
    </row>
    <row r="34" spans="10:10" ht="14.4" x14ac:dyDescent="0.3">
      <c r="J34" s="31"/>
    </row>
    <row r="35" spans="10:10" ht="14.4" x14ac:dyDescent="0.3">
      <c r="J35" s="31"/>
    </row>
    <row r="36" spans="10:10" ht="14.4" x14ac:dyDescent="0.3">
      <c r="J36" s="31"/>
    </row>
    <row r="37" spans="10:10" ht="14.4" x14ac:dyDescent="0.3">
      <c r="J37" s="31"/>
    </row>
    <row r="38" spans="10:10" ht="14.4" x14ac:dyDescent="0.3">
      <c r="J38" s="31"/>
    </row>
    <row r="39" spans="10:10" ht="14.4" x14ac:dyDescent="0.3">
      <c r="J39" s="31"/>
    </row>
    <row r="40" spans="10:10" ht="14.4" x14ac:dyDescent="0.3">
      <c r="J40" s="31"/>
    </row>
    <row r="41" spans="10:10" ht="14.4" x14ac:dyDescent="0.3">
      <c r="J41" s="31"/>
    </row>
    <row r="42" spans="10:10" ht="14.4" x14ac:dyDescent="0.3">
      <c r="J42" s="31"/>
    </row>
    <row r="43" spans="10:10" ht="14.4" x14ac:dyDescent="0.3">
      <c r="J43" s="31"/>
    </row>
    <row r="44" spans="10:10" ht="14.4" x14ac:dyDescent="0.3">
      <c r="J44" s="31"/>
    </row>
    <row r="45" spans="10:10" ht="14.4" x14ac:dyDescent="0.3">
      <c r="J45" s="31"/>
    </row>
    <row r="46" spans="10:10" ht="14.4" x14ac:dyDescent="0.3">
      <c r="J46" s="31"/>
    </row>
    <row r="47" spans="10:10" ht="14.4" x14ac:dyDescent="0.3">
      <c r="J47" s="31"/>
    </row>
    <row r="48" spans="10:10" ht="14.4" x14ac:dyDescent="0.3">
      <c r="J48" s="31"/>
    </row>
    <row r="49" spans="10:10" ht="14.4" x14ac:dyDescent="0.3">
      <c r="J49" s="31"/>
    </row>
    <row r="50" spans="10:10" ht="14.4" x14ac:dyDescent="0.3">
      <c r="J50" s="31"/>
    </row>
    <row r="51" spans="10:10" ht="14.4" x14ac:dyDescent="0.3">
      <c r="J51" s="31"/>
    </row>
    <row r="52" spans="10:10" ht="14.4" x14ac:dyDescent="0.3">
      <c r="J52" s="31"/>
    </row>
    <row r="53" spans="10:10" ht="14.4" x14ac:dyDescent="0.3">
      <c r="J53" s="31"/>
    </row>
    <row r="54" spans="10:10" ht="14.4" x14ac:dyDescent="0.3">
      <c r="J54" s="31"/>
    </row>
    <row r="55" spans="10:10" ht="14.4" x14ac:dyDescent="0.3">
      <c r="J55" s="31"/>
    </row>
    <row r="56" spans="10:10" ht="14.4" x14ac:dyDescent="0.3">
      <c r="J56" s="31"/>
    </row>
    <row r="57" spans="10:10" ht="14.4" x14ac:dyDescent="0.3">
      <c r="J57" s="31"/>
    </row>
    <row r="58" spans="10:10" ht="14.4" x14ac:dyDescent="0.3">
      <c r="J58" s="31"/>
    </row>
    <row r="59" spans="10:10" ht="14.4" x14ac:dyDescent="0.3">
      <c r="J59" s="31"/>
    </row>
    <row r="60" spans="10:10" ht="14.4" x14ac:dyDescent="0.3">
      <c r="J60" s="31"/>
    </row>
    <row r="61" spans="10:10" ht="14.4" x14ac:dyDescent="0.3">
      <c r="J61" s="31"/>
    </row>
    <row r="62" spans="10:10" ht="14.4" x14ac:dyDescent="0.3">
      <c r="J62" s="31"/>
    </row>
    <row r="63" spans="10:10" ht="14.4" x14ac:dyDescent="0.3">
      <c r="J63" s="31"/>
    </row>
    <row r="64" spans="10:10" ht="14.4" x14ac:dyDescent="0.3">
      <c r="J64" s="31"/>
    </row>
    <row r="65" spans="10:10" ht="14.4" x14ac:dyDescent="0.3">
      <c r="J65" s="31"/>
    </row>
    <row r="66" spans="10:10" ht="14.4" x14ac:dyDescent="0.3">
      <c r="J66" s="31"/>
    </row>
    <row r="67" spans="10:10" ht="14.4" x14ac:dyDescent="0.3">
      <c r="J67" s="31"/>
    </row>
    <row r="68" spans="10:10" ht="14.4" x14ac:dyDescent="0.3">
      <c r="J68" s="31"/>
    </row>
    <row r="69" spans="10:10" ht="14.4" x14ac:dyDescent="0.3">
      <c r="J69" s="31"/>
    </row>
    <row r="70" spans="10:10" ht="14.4" x14ac:dyDescent="0.3">
      <c r="J70" s="31"/>
    </row>
    <row r="71" spans="10:10" ht="14.4" x14ac:dyDescent="0.3">
      <c r="J71" s="31"/>
    </row>
    <row r="72" spans="10:10" ht="14.4" x14ac:dyDescent="0.3">
      <c r="J72" s="31"/>
    </row>
    <row r="73" spans="10:10" ht="14.4" x14ac:dyDescent="0.3">
      <c r="J73" s="31"/>
    </row>
    <row r="74" spans="10:10" ht="14.4" x14ac:dyDescent="0.3">
      <c r="J74" s="31"/>
    </row>
    <row r="75" spans="10:10" ht="14.4" x14ac:dyDescent="0.3">
      <c r="J75" s="31"/>
    </row>
    <row r="76" spans="10:10" ht="14.4" x14ac:dyDescent="0.3">
      <c r="J76" s="31"/>
    </row>
    <row r="77" spans="10:10" ht="14.4" x14ac:dyDescent="0.3">
      <c r="J77" s="31"/>
    </row>
    <row r="78" spans="10:10" ht="14.4" x14ac:dyDescent="0.3">
      <c r="J78" s="31"/>
    </row>
    <row r="79" spans="10:10" ht="14.4" x14ac:dyDescent="0.3">
      <c r="J79" s="31"/>
    </row>
    <row r="80" spans="10:10" ht="14.4" x14ac:dyDescent="0.3">
      <c r="J80" s="31"/>
    </row>
    <row r="81" spans="10:10" ht="14.4" x14ac:dyDescent="0.3">
      <c r="J81" s="31"/>
    </row>
    <row r="82" spans="10:10" ht="14.4" x14ac:dyDescent="0.3">
      <c r="J82" s="31"/>
    </row>
    <row r="83" spans="10:10" ht="14.4" x14ac:dyDescent="0.3">
      <c r="J83" s="31"/>
    </row>
    <row r="84" spans="10:10" ht="14.4" x14ac:dyDescent="0.3">
      <c r="J84" s="31"/>
    </row>
    <row r="85" spans="10:10" ht="14.4" x14ac:dyDescent="0.3">
      <c r="J85" s="31"/>
    </row>
    <row r="86" spans="10:10" ht="14.4" x14ac:dyDescent="0.3">
      <c r="J86" s="31"/>
    </row>
    <row r="87" spans="10:10" ht="14.4" x14ac:dyDescent="0.3">
      <c r="J87" s="31"/>
    </row>
    <row r="88" spans="10:10" ht="14.4" x14ac:dyDescent="0.3">
      <c r="J88" s="31"/>
    </row>
    <row r="89" spans="10:10" ht="14.4" x14ac:dyDescent="0.3">
      <c r="J89" s="31"/>
    </row>
    <row r="90" spans="10:10" ht="14.4" x14ac:dyDescent="0.3">
      <c r="J90" s="31"/>
    </row>
    <row r="91" spans="10:10" ht="14.4" x14ac:dyDescent="0.3">
      <c r="J91" s="31"/>
    </row>
    <row r="92" spans="10:10" ht="14.4" x14ac:dyDescent="0.3">
      <c r="J92" s="31"/>
    </row>
    <row r="93" spans="10:10" ht="14.4" x14ac:dyDescent="0.3">
      <c r="J93" s="31"/>
    </row>
    <row r="94" spans="10:10" ht="14.4" x14ac:dyDescent="0.3">
      <c r="J94" s="31"/>
    </row>
    <row r="95" spans="10:10" ht="14.4" x14ac:dyDescent="0.3">
      <c r="J95" s="31"/>
    </row>
    <row r="96" spans="10:10" ht="14.4" x14ac:dyDescent="0.3">
      <c r="J96" s="31"/>
    </row>
    <row r="97" spans="10:10" ht="14.4" x14ac:dyDescent="0.3">
      <c r="J97" s="31"/>
    </row>
    <row r="98" spans="10:10" ht="14.4" x14ac:dyDescent="0.3">
      <c r="J98" s="31"/>
    </row>
    <row r="99" spans="10:10" ht="14.4" x14ac:dyDescent="0.3">
      <c r="J99" s="31"/>
    </row>
    <row r="100" spans="10:10" ht="14.4" x14ac:dyDescent="0.3">
      <c r="J100" s="31"/>
    </row>
    <row r="101" spans="10:10" ht="14.4" x14ac:dyDescent="0.3">
      <c r="J101" s="31"/>
    </row>
    <row r="102" spans="10:10" ht="14.4" x14ac:dyDescent="0.3">
      <c r="J102" s="31"/>
    </row>
    <row r="103" spans="10:10" ht="14.4" x14ac:dyDescent="0.3">
      <c r="J103" s="31"/>
    </row>
    <row r="104" spans="10:10" ht="14.4" x14ac:dyDescent="0.3">
      <c r="J104" s="31"/>
    </row>
    <row r="105" spans="10:10" ht="14.4" x14ac:dyDescent="0.3">
      <c r="J105" s="31"/>
    </row>
    <row r="106" spans="10:10" ht="14.4" x14ac:dyDescent="0.3">
      <c r="J106" s="31"/>
    </row>
    <row r="107" spans="10:10" ht="14.4" x14ac:dyDescent="0.3">
      <c r="J107" s="31"/>
    </row>
    <row r="108" spans="10:10" ht="14.4" x14ac:dyDescent="0.3">
      <c r="J108" s="31"/>
    </row>
    <row r="109" spans="10:10" ht="14.4" x14ac:dyDescent="0.3">
      <c r="J109" s="31"/>
    </row>
    <row r="110" spans="10:10" ht="14.4" x14ac:dyDescent="0.3">
      <c r="J110" s="31"/>
    </row>
    <row r="111" spans="10:10" ht="14.4" x14ac:dyDescent="0.3">
      <c r="J111" s="31"/>
    </row>
    <row r="112" spans="10:10" ht="14.4" x14ac:dyDescent="0.3">
      <c r="J112" s="31"/>
    </row>
    <row r="113" spans="10:10" ht="14.4" x14ac:dyDescent="0.3">
      <c r="J113" s="31"/>
    </row>
    <row r="114" spans="10:10" ht="14.4" x14ac:dyDescent="0.3">
      <c r="J114" s="31"/>
    </row>
    <row r="115" spans="10:10" ht="14.4" x14ac:dyDescent="0.3">
      <c r="J115" s="31"/>
    </row>
    <row r="116" spans="10:10" ht="14.4" x14ac:dyDescent="0.3">
      <c r="J116" s="31"/>
    </row>
    <row r="117" spans="10:10" ht="14.4" x14ac:dyDescent="0.3">
      <c r="J117" s="31"/>
    </row>
    <row r="118" spans="10:10" ht="14.4" x14ac:dyDescent="0.3">
      <c r="J118" s="31"/>
    </row>
    <row r="119" spans="10:10" ht="14.4" x14ac:dyDescent="0.3">
      <c r="J119" s="31"/>
    </row>
    <row r="120" spans="10:10" ht="14.4" x14ac:dyDescent="0.3">
      <c r="J120" s="31"/>
    </row>
    <row r="121" spans="10:10" ht="14.4" x14ac:dyDescent="0.3">
      <c r="J121" s="31"/>
    </row>
    <row r="122" spans="10:10" ht="14.4" x14ac:dyDescent="0.3">
      <c r="J122" s="31"/>
    </row>
    <row r="123" spans="10:10" ht="14.4" x14ac:dyDescent="0.3">
      <c r="J123" s="31"/>
    </row>
    <row r="124" spans="10:10" ht="14.4" x14ac:dyDescent="0.3">
      <c r="J124" s="31"/>
    </row>
    <row r="125" spans="10:10" ht="14.4" x14ac:dyDescent="0.3">
      <c r="J125" s="31"/>
    </row>
    <row r="126" spans="10:10" ht="14.4" x14ac:dyDescent="0.3">
      <c r="J126" s="31"/>
    </row>
    <row r="127" spans="10:10" ht="14.4" x14ac:dyDescent="0.3">
      <c r="J127" s="31"/>
    </row>
    <row r="128" spans="10:10" ht="14.4" x14ac:dyDescent="0.3">
      <c r="J128" s="31"/>
    </row>
    <row r="129" spans="10:10" ht="14.4" x14ac:dyDescent="0.3">
      <c r="J129" s="31"/>
    </row>
    <row r="130" spans="10:10" ht="14.4" x14ac:dyDescent="0.3">
      <c r="J130" s="31"/>
    </row>
    <row r="131" spans="10:10" ht="14.4" x14ac:dyDescent="0.3">
      <c r="J131" s="31"/>
    </row>
    <row r="132" spans="10:10" ht="14.4" x14ac:dyDescent="0.3">
      <c r="J132" s="31"/>
    </row>
    <row r="133" spans="10:10" ht="14.4" x14ac:dyDescent="0.3">
      <c r="J133" s="31"/>
    </row>
    <row r="134" spans="10:10" ht="14.4" x14ac:dyDescent="0.3">
      <c r="J134" s="31"/>
    </row>
    <row r="135" spans="10:10" ht="14.4" x14ac:dyDescent="0.3">
      <c r="J135" s="31"/>
    </row>
    <row r="136" spans="10:10" ht="14.4" x14ac:dyDescent="0.3">
      <c r="J136" s="31"/>
    </row>
    <row r="137" spans="10:10" ht="14.4" x14ac:dyDescent="0.3">
      <c r="J137" s="31"/>
    </row>
    <row r="138" spans="10:10" ht="14.4" x14ac:dyDescent="0.3">
      <c r="J138" s="31"/>
    </row>
    <row r="139" spans="10:10" ht="14.4" x14ac:dyDescent="0.3">
      <c r="J139" s="31"/>
    </row>
    <row r="140" spans="10:10" ht="14.4" x14ac:dyDescent="0.3">
      <c r="J140" s="31"/>
    </row>
    <row r="141" spans="10:10" ht="14.4" x14ac:dyDescent="0.3">
      <c r="J141" s="31"/>
    </row>
    <row r="142" spans="10:10" ht="14.4" x14ac:dyDescent="0.3">
      <c r="J142" s="31"/>
    </row>
    <row r="143" spans="10:10" ht="14.4" x14ac:dyDescent="0.3">
      <c r="J143" s="31"/>
    </row>
    <row r="144" spans="10:10" ht="14.4" x14ac:dyDescent="0.3">
      <c r="J144" s="31"/>
    </row>
    <row r="145" spans="10:10" ht="14.4" x14ac:dyDescent="0.3">
      <c r="J145" s="31"/>
    </row>
    <row r="146" spans="10:10" ht="14.4" x14ac:dyDescent="0.3">
      <c r="J146" s="31"/>
    </row>
    <row r="147" spans="10:10" ht="14.4" x14ac:dyDescent="0.3">
      <c r="J147" s="31"/>
    </row>
    <row r="148" spans="10:10" ht="14.4" x14ac:dyDescent="0.3">
      <c r="J148" s="31"/>
    </row>
    <row r="149" spans="10:10" ht="14.4" x14ac:dyDescent="0.3">
      <c r="J149" s="31"/>
    </row>
    <row r="150" spans="10:10" ht="14.4" x14ac:dyDescent="0.3">
      <c r="J150" s="31"/>
    </row>
    <row r="151" spans="10:10" ht="14.4" x14ac:dyDescent="0.3">
      <c r="J151" s="31"/>
    </row>
    <row r="152" spans="10:10" ht="14.4" x14ac:dyDescent="0.3">
      <c r="J152" s="31"/>
    </row>
    <row r="153" spans="10:10" ht="14.4" x14ac:dyDescent="0.3">
      <c r="J153" s="31"/>
    </row>
    <row r="154" spans="10:10" ht="14.4" x14ac:dyDescent="0.3">
      <c r="J154" s="31"/>
    </row>
    <row r="155" spans="10:10" ht="14.4" x14ac:dyDescent="0.3">
      <c r="J155" s="31"/>
    </row>
    <row r="156" spans="10:10" ht="14.4" x14ac:dyDescent="0.3">
      <c r="J156" s="31"/>
    </row>
    <row r="157" spans="10:10" ht="14.4" x14ac:dyDescent="0.3">
      <c r="J157" s="31"/>
    </row>
    <row r="158" spans="10:10" ht="14.4" x14ac:dyDescent="0.3">
      <c r="J158" s="31"/>
    </row>
    <row r="159" spans="10:10" ht="14.4" x14ac:dyDescent="0.3">
      <c r="J159" s="31"/>
    </row>
    <row r="160" spans="10:10" ht="14.4" x14ac:dyDescent="0.3">
      <c r="J160" s="31"/>
    </row>
    <row r="161" spans="10:10" ht="14.4" x14ac:dyDescent="0.3">
      <c r="J161" s="31"/>
    </row>
    <row r="162" spans="10:10" ht="14.4" x14ac:dyDescent="0.3">
      <c r="J162" s="31"/>
    </row>
    <row r="163" spans="10:10" ht="14.4" x14ac:dyDescent="0.3">
      <c r="J163" s="31"/>
    </row>
    <row r="164" spans="10:10" ht="14.4" x14ac:dyDescent="0.3">
      <c r="J164" s="31"/>
    </row>
    <row r="165" spans="10:10" ht="14.4" x14ac:dyDescent="0.3">
      <c r="J165" s="31"/>
    </row>
    <row r="166" spans="10:10" ht="14.4" x14ac:dyDescent="0.3">
      <c r="J166" s="31"/>
    </row>
    <row r="167" spans="10:10" ht="14.4" x14ac:dyDescent="0.3">
      <c r="J167" s="31"/>
    </row>
    <row r="168" spans="10:10" ht="14.4" x14ac:dyDescent="0.3">
      <c r="J168" s="31"/>
    </row>
    <row r="169" spans="10:10" ht="14.4" x14ac:dyDescent="0.3">
      <c r="J169" s="31"/>
    </row>
  </sheetData>
  <sortState xmlns:xlrd2="http://schemas.microsoft.com/office/spreadsheetml/2017/richdata2" ref="C10:F17">
    <sortCondition descending="1" ref="D10:D17"/>
    <sortCondition ref="C10:C17"/>
  </sortState>
  <dataValidations count="1">
    <dataValidation allowBlank="1" showErrorMessage="1" sqref="B1:B2" xr:uid="{4B4E6C63-D988-4F6E-BE07-7FD3006F6FBD}"/>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189"/>
  <sheetViews>
    <sheetView workbookViewId="0">
      <selection activeCell="D11" sqref="D11"/>
    </sheetView>
  </sheetViews>
  <sheetFormatPr defaultRowHeight="11.4" x14ac:dyDescent="0.2"/>
  <cols>
    <col min="1" max="1" width="2" style="32" customWidth="1"/>
    <col min="2" max="2" width="7" style="32" customWidth="1"/>
    <col min="3" max="3" width="16.44140625" style="32" customWidth="1"/>
    <col min="4" max="4" width="15.77734375" style="32" bestFit="1" customWidth="1"/>
    <col min="5" max="16384" width="8.88671875" style="32"/>
  </cols>
  <sheetData>
    <row r="1" spans="2:24" ht="15.6" x14ac:dyDescent="0.2">
      <c r="B1" s="24" t="s">
        <v>527</v>
      </c>
    </row>
    <row r="2" spans="2:24" ht="12" x14ac:dyDescent="0.2">
      <c r="B2" s="25" t="s">
        <v>539</v>
      </c>
    </row>
    <row r="4" spans="2:24" ht="12" x14ac:dyDescent="0.2">
      <c r="B4" s="40" t="s">
        <v>548</v>
      </c>
      <c r="C4" s="41"/>
      <c r="D4" s="41"/>
      <c r="E4" s="41"/>
      <c r="F4" s="41"/>
      <c r="G4" s="41"/>
      <c r="H4" s="41"/>
      <c r="I4" s="41"/>
      <c r="J4" s="41"/>
      <c r="K4" s="41"/>
      <c r="L4" s="41"/>
      <c r="M4" s="41"/>
      <c r="N4" s="41"/>
      <c r="O4" s="41"/>
      <c r="P4" s="41"/>
      <c r="Q4" s="41"/>
      <c r="R4" s="41"/>
      <c r="S4" s="41"/>
      <c r="T4" s="41"/>
      <c r="U4" s="41"/>
      <c r="V4" s="41"/>
      <c r="W4" s="41"/>
      <c r="X4" s="41"/>
    </row>
    <row r="5" spans="2:24" ht="12" x14ac:dyDescent="0.25">
      <c r="B5" s="41" t="s">
        <v>540</v>
      </c>
      <c r="C5" s="41"/>
      <c r="D5" s="41"/>
      <c r="E5" s="41"/>
      <c r="F5" s="41"/>
      <c r="G5" s="41"/>
      <c r="H5" s="41"/>
      <c r="I5" s="41"/>
      <c r="J5" s="41"/>
      <c r="K5" s="41"/>
      <c r="L5" s="41"/>
      <c r="M5" s="41"/>
      <c r="N5" s="41"/>
      <c r="O5" s="41"/>
      <c r="P5" s="41"/>
      <c r="Q5" s="41"/>
      <c r="R5" s="41"/>
      <c r="S5" s="41"/>
      <c r="T5" s="41"/>
      <c r="U5" s="41"/>
      <c r="V5" s="41"/>
      <c r="W5" s="41"/>
      <c r="X5" s="41"/>
    </row>
    <row r="6" spans="2:24" ht="12" x14ac:dyDescent="0.2">
      <c r="B6" s="29"/>
      <c r="C6" s="39"/>
      <c r="D6" s="39"/>
      <c r="E6" s="41"/>
      <c r="F6" s="41"/>
      <c r="G6" s="41"/>
      <c r="H6" s="41"/>
      <c r="I6" s="41"/>
      <c r="J6" s="41"/>
      <c r="K6" s="41"/>
      <c r="L6" s="41"/>
      <c r="M6" s="41"/>
      <c r="N6" s="41"/>
      <c r="O6" s="41"/>
      <c r="P6" s="41"/>
      <c r="Q6" s="41"/>
      <c r="R6" s="41"/>
      <c r="S6" s="41"/>
      <c r="T6" s="41"/>
      <c r="U6" s="41"/>
      <c r="V6" s="41"/>
      <c r="W6" s="41"/>
      <c r="X6" s="41"/>
    </row>
    <row r="7" spans="2:24" ht="14.4" x14ac:dyDescent="0.3">
      <c r="C7" s="45" t="s">
        <v>566</v>
      </c>
      <c r="D7" s="52">
        <f>AVERAGE('365RE'!I6:I272)</f>
        <v>281171.90150112362</v>
      </c>
      <c r="F7" s="32" t="s">
        <v>572</v>
      </c>
      <c r="H7" s="31"/>
    </row>
    <row r="8" spans="2:24" ht="14.4" x14ac:dyDescent="0.3">
      <c r="C8" s="45" t="s">
        <v>567</v>
      </c>
      <c r="D8" s="52">
        <f>MEDIAN('365RE'!I6:I272)</f>
        <v>249075.6568</v>
      </c>
      <c r="F8" s="32" t="s">
        <v>573</v>
      </c>
      <c r="H8" s="31"/>
    </row>
    <row r="9" spans="2:24" ht="14.4" x14ac:dyDescent="0.3">
      <c r="C9" s="45" t="s">
        <v>568</v>
      </c>
      <c r="D9" s="52">
        <f>_xlfn.MODE.SNGL('365RE'!I6:I272)</f>
        <v>460001.25599999994</v>
      </c>
      <c r="H9" s="31"/>
    </row>
    <row r="10" spans="2:24" ht="14.4" x14ac:dyDescent="0.3">
      <c r="C10" s="45" t="s">
        <v>569</v>
      </c>
      <c r="D10" s="50">
        <f>SKEW('365RE'!I6:I272)</f>
        <v>1.0960149435317852</v>
      </c>
      <c r="F10" s="32" t="s">
        <v>574</v>
      </c>
      <c r="H10" s="31"/>
    </row>
    <row r="11" spans="2:24" ht="14.4" x14ac:dyDescent="0.3">
      <c r="C11" s="45" t="s">
        <v>570</v>
      </c>
      <c r="D11" s="52">
        <f>_xlfn.VAR.P('365RE'!I6:I272)</f>
        <v>7912471567.2096815</v>
      </c>
      <c r="H11" s="31"/>
    </row>
    <row r="12" spans="2:24" ht="14.4" x14ac:dyDescent="0.3">
      <c r="C12" s="45" t="s">
        <v>571</v>
      </c>
      <c r="D12" s="52">
        <f>_xlfn.STDEV.P('365RE'!I6:I272)</f>
        <v>88952.074552590857</v>
      </c>
      <c r="H12" s="31"/>
    </row>
    <row r="13" spans="2:24" ht="14.4" x14ac:dyDescent="0.3">
      <c r="H13" s="31"/>
    </row>
    <row r="14" spans="2:24" ht="14.4" x14ac:dyDescent="0.3">
      <c r="H14" s="31"/>
    </row>
    <row r="15" spans="2:24" ht="14.4" x14ac:dyDescent="0.3">
      <c r="H15" s="31"/>
    </row>
    <row r="16" spans="2:24" ht="14.4" x14ac:dyDescent="0.3">
      <c r="H16" s="31"/>
    </row>
    <row r="17" spans="8:8" ht="14.4" x14ac:dyDescent="0.3">
      <c r="H17" s="31"/>
    </row>
    <row r="18" spans="8:8" ht="14.4" x14ac:dyDescent="0.3">
      <c r="H18" s="31"/>
    </row>
    <row r="19" spans="8:8" ht="14.4" x14ac:dyDescent="0.3">
      <c r="H19" s="31"/>
    </row>
    <row r="20" spans="8:8" ht="14.4" x14ac:dyDescent="0.3">
      <c r="H20" s="31"/>
    </row>
    <row r="21" spans="8:8" ht="14.4" x14ac:dyDescent="0.3">
      <c r="H21" s="31"/>
    </row>
    <row r="22" spans="8:8" ht="14.4" x14ac:dyDescent="0.3">
      <c r="H22" s="31"/>
    </row>
    <row r="23" spans="8:8" ht="14.4" x14ac:dyDescent="0.3">
      <c r="H23" s="31"/>
    </row>
    <row r="24" spans="8:8" ht="14.4" x14ac:dyDescent="0.3">
      <c r="H24" s="31"/>
    </row>
    <row r="25" spans="8:8" ht="14.4" x14ac:dyDescent="0.3">
      <c r="H25" s="31"/>
    </row>
    <row r="26" spans="8:8" ht="14.4" x14ac:dyDescent="0.3">
      <c r="H26" s="31"/>
    </row>
    <row r="27" spans="8:8" ht="14.4" x14ac:dyDescent="0.3">
      <c r="H27" s="31"/>
    </row>
    <row r="28" spans="8:8" ht="14.4" x14ac:dyDescent="0.3">
      <c r="H28" s="31"/>
    </row>
    <row r="29" spans="8:8" ht="14.4" x14ac:dyDescent="0.3">
      <c r="H29" s="31"/>
    </row>
    <row r="30" spans="8:8" ht="14.4" x14ac:dyDescent="0.3">
      <c r="H30" s="31"/>
    </row>
    <row r="31" spans="8:8" ht="14.4" x14ac:dyDescent="0.3">
      <c r="H31" s="31"/>
    </row>
    <row r="32" spans="8:8" ht="14.4" x14ac:dyDescent="0.3">
      <c r="H32" s="31"/>
    </row>
    <row r="33" spans="8:8" ht="14.4" x14ac:dyDescent="0.3">
      <c r="H33" s="31"/>
    </row>
    <row r="34" spans="8:8" ht="14.4" x14ac:dyDescent="0.3">
      <c r="H34" s="31"/>
    </row>
    <row r="35" spans="8:8" ht="14.4" x14ac:dyDescent="0.3">
      <c r="H35" s="31"/>
    </row>
    <row r="36" spans="8:8" ht="14.4" x14ac:dyDescent="0.3">
      <c r="H36" s="31"/>
    </row>
    <row r="37" spans="8:8" ht="14.4" x14ac:dyDescent="0.3">
      <c r="H37" s="31"/>
    </row>
    <row r="38" spans="8:8" ht="14.4" x14ac:dyDescent="0.3">
      <c r="H38" s="31"/>
    </row>
    <row r="39" spans="8:8" ht="14.4" x14ac:dyDescent="0.3">
      <c r="H39" s="31"/>
    </row>
    <row r="40" spans="8:8" ht="14.4" x14ac:dyDescent="0.3">
      <c r="H40" s="31"/>
    </row>
    <row r="41" spans="8:8" ht="14.4" x14ac:dyDescent="0.3">
      <c r="H41" s="31"/>
    </row>
    <row r="42" spans="8:8" ht="14.4" x14ac:dyDescent="0.3">
      <c r="H42" s="31"/>
    </row>
    <row r="43" spans="8:8" ht="14.4" x14ac:dyDescent="0.3">
      <c r="H43" s="31"/>
    </row>
    <row r="44" spans="8:8" ht="14.4" x14ac:dyDescent="0.3">
      <c r="H44" s="31"/>
    </row>
    <row r="45" spans="8:8" ht="14.4" x14ac:dyDescent="0.3">
      <c r="H45" s="31"/>
    </row>
    <row r="46" spans="8:8" ht="14.4" x14ac:dyDescent="0.3">
      <c r="H46" s="31"/>
    </row>
    <row r="47" spans="8:8" ht="14.4" x14ac:dyDescent="0.3">
      <c r="H47" s="31"/>
    </row>
    <row r="48" spans="8:8" ht="14.4" x14ac:dyDescent="0.3">
      <c r="H48" s="31"/>
    </row>
    <row r="49" spans="8:8" ht="14.4" x14ac:dyDescent="0.3">
      <c r="H49" s="31"/>
    </row>
    <row r="50" spans="8:8" ht="14.4" x14ac:dyDescent="0.3">
      <c r="H50" s="31"/>
    </row>
    <row r="51" spans="8:8" ht="14.4" x14ac:dyDescent="0.3">
      <c r="H51" s="31"/>
    </row>
    <row r="52" spans="8:8" ht="14.4" x14ac:dyDescent="0.3">
      <c r="H52" s="31"/>
    </row>
    <row r="53" spans="8:8" ht="14.4" x14ac:dyDescent="0.3">
      <c r="H53" s="31"/>
    </row>
    <row r="54" spans="8:8" ht="14.4" x14ac:dyDescent="0.3">
      <c r="H54" s="31"/>
    </row>
    <row r="55" spans="8:8" ht="14.4" x14ac:dyDescent="0.3">
      <c r="H55" s="31"/>
    </row>
    <row r="56" spans="8:8" ht="14.4" x14ac:dyDescent="0.3">
      <c r="H56" s="31"/>
    </row>
    <row r="57" spans="8:8" ht="14.4" x14ac:dyDescent="0.3">
      <c r="H57" s="31"/>
    </row>
    <row r="58" spans="8:8" ht="14.4" x14ac:dyDescent="0.3">
      <c r="H58" s="31"/>
    </row>
    <row r="59" spans="8:8" ht="14.4" x14ac:dyDescent="0.3">
      <c r="H59" s="31"/>
    </row>
    <row r="60" spans="8:8" ht="14.4" x14ac:dyDescent="0.3">
      <c r="H60" s="31"/>
    </row>
    <row r="61" spans="8:8" ht="14.4" x14ac:dyDescent="0.3">
      <c r="H61" s="31"/>
    </row>
    <row r="62" spans="8:8" ht="14.4" x14ac:dyDescent="0.3">
      <c r="H62" s="31"/>
    </row>
    <row r="63" spans="8:8" ht="14.4" x14ac:dyDescent="0.3">
      <c r="H63" s="31"/>
    </row>
    <row r="64" spans="8:8" ht="14.4" x14ac:dyDescent="0.3">
      <c r="H64" s="31"/>
    </row>
    <row r="65" spans="8:8" ht="14.4" x14ac:dyDescent="0.3">
      <c r="H65" s="31"/>
    </row>
    <row r="66" spans="8:8" ht="14.4" x14ac:dyDescent="0.3">
      <c r="H66" s="31"/>
    </row>
    <row r="67" spans="8:8" ht="14.4" x14ac:dyDescent="0.3">
      <c r="H67" s="31"/>
    </row>
    <row r="68" spans="8:8" ht="14.4" x14ac:dyDescent="0.3">
      <c r="H68" s="31"/>
    </row>
    <row r="69" spans="8:8" ht="14.4" x14ac:dyDescent="0.3">
      <c r="H69" s="31"/>
    </row>
    <row r="70" spans="8:8" ht="14.4" x14ac:dyDescent="0.3">
      <c r="H70" s="31"/>
    </row>
    <row r="71" spans="8:8" ht="14.4" x14ac:dyDescent="0.3">
      <c r="H71" s="31"/>
    </row>
    <row r="72" spans="8:8" ht="14.4" x14ac:dyDescent="0.3">
      <c r="H72" s="31"/>
    </row>
    <row r="73" spans="8:8" ht="14.4" x14ac:dyDescent="0.3">
      <c r="H73" s="31"/>
    </row>
    <row r="74" spans="8:8" ht="14.4" x14ac:dyDescent="0.3">
      <c r="H74" s="31"/>
    </row>
    <row r="75" spans="8:8" ht="14.4" x14ac:dyDescent="0.3">
      <c r="H75" s="31"/>
    </row>
    <row r="76" spans="8:8" ht="14.4" x14ac:dyDescent="0.3">
      <c r="H76" s="31"/>
    </row>
    <row r="77" spans="8:8" ht="14.4" x14ac:dyDescent="0.3">
      <c r="H77" s="31"/>
    </row>
    <row r="78" spans="8:8" ht="14.4" x14ac:dyDescent="0.3">
      <c r="H78" s="31"/>
    </row>
    <row r="79" spans="8:8" ht="14.4" x14ac:dyDescent="0.3">
      <c r="H79" s="31"/>
    </row>
    <row r="80" spans="8:8" ht="14.4" x14ac:dyDescent="0.3">
      <c r="H80" s="31"/>
    </row>
    <row r="81" spans="8:8" ht="14.4" x14ac:dyDescent="0.3">
      <c r="H81" s="31"/>
    </row>
    <row r="82" spans="8:8" ht="14.4" x14ac:dyDescent="0.3">
      <c r="H82" s="31"/>
    </row>
    <row r="83" spans="8:8" ht="14.4" x14ac:dyDescent="0.3">
      <c r="H83" s="31"/>
    </row>
    <row r="84" spans="8:8" ht="14.4" x14ac:dyDescent="0.3">
      <c r="H84" s="31"/>
    </row>
    <row r="85" spans="8:8" ht="14.4" x14ac:dyDescent="0.3">
      <c r="H85" s="31"/>
    </row>
    <row r="86" spans="8:8" ht="14.4" x14ac:dyDescent="0.3">
      <c r="H86" s="31"/>
    </row>
    <row r="87" spans="8:8" ht="14.4" x14ac:dyDescent="0.3">
      <c r="H87" s="31"/>
    </row>
    <row r="88" spans="8:8" ht="14.4" x14ac:dyDescent="0.3">
      <c r="H88" s="31"/>
    </row>
    <row r="89" spans="8:8" ht="14.4" x14ac:dyDescent="0.3">
      <c r="H89" s="31"/>
    </row>
    <row r="90" spans="8:8" ht="14.4" x14ac:dyDescent="0.3">
      <c r="H90" s="31"/>
    </row>
    <row r="91" spans="8:8" ht="14.4" x14ac:dyDescent="0.3">
      <c r="H91" s="31"/>
    </row>
    <row r="92" spans="8:8" ht="14.4" x14ac:dyDescent="0.3">
      <c r="H92" s="31"/>
    </row>
    <row r="93" spans="8:8" ht="14.4" x14ac:dyDescent="0.3">
      <c r="H93" s="31"/>
    </row>
    <row r="94" spans="8:8" ht="14.4" x14ac:dyDescent="0.3">
      <c r="H94" s="31"/>
    </row>
    <row r="95" spans="8:8" ht="14.4" x14ac:dyDescent="0.3">
      <c r="H95" s="31"/>
    </row>
    <row r="96" spans="8:8" ht="14.4" x14ac:dyDescent="0.3">
      <c r="H96" s="31"/>
    </row>
    <row r="97" spans="8:8" ht="14.4" x14ac:dyDescent="0.3">
      <c r="H97" s="31"/>
    </row>
    <row r="98" spans="8:8" ht="14.4" x14ac:dyDescent="0.3">
      <c r="H98" s="31"/>
    </row>
    <row r="99" spans="8:8" ht="14.4" x14ac:dyDescent="0.3">
      <c r="H99" s="31"/>
    </row>
    <row r="100" spans="8:8" ht="14.4" x14ac:dyDescent="0.3">
      <c r="H100" s="31"/>
    </row>
    <row r="101" spans="8:8" ht="14.4" x14ac:dyDescent="0.3">
      <c r="H101" s="31"/>
    </row>
    <row r="102" spans="8:8" ht="14.4" x14ac:dyDescent="0.3">
      <c r="H102" s="31"/>
    </row>
    <row r="103" spans="8:8" ht="14.4" x14ac:dyDescent="0.3">
      <c r="H103" s="31"/>
    </row>
    <row r="104" spans="8:8" ht="14.4" x14ac:dyDescent="0.3">
      <c r="H104" s="31"/>
    </row>
    <row r="105" spans="8:8" ht="14.4" x14ac:dyDescent="0.3">
      <c r="H105" s="31"/>
    </row>
    <row r="106" spans="8:8" ht="14.4" x14ac:dyDescent="0.3">
      <c r="H106" s="31"/>
    </row>
    <row r="107" spans="8:8" ht="14.4" x14ac:dyDescent="0.3">
      <c r="H107" s="31"/>
    </row>
    <row r="108" spans="8:8" ht="14.4" x14ac:dyDescent="0.3">
      <c r="H108" s="31"/>
    </row>
    <row r="109" spans="8:8" ht="14.4" x14ac:dyDescent="0.3">
      <c r="H109" s="31"/>
    </row>
    <row r="110" spans="8:8" ht="14.4" x14ac:dyDescent="0.3">
      <c r="H110" s="31"/>
    </row>
    <row r="111" spans="8:8" ht="14.4" x14ac:dyDescent="0.3">
      <c r="H111" s="31"/>
    </row>
    <row r="112" spans="8:8" ht="14.4" x14ac:dyDescent="0.3">
      <c r="H112" s="31"/>
    </row>
    <row r="113" spans="8:8" ht="14.4" x14ac:dyDescent="0.3">
      <c r="H113" s="31"/>
    </row>
    <row r="114" spans="8:8" ht="14.4" x14ac:dyDescent="0.3">
      <c r="H114" s="31"/>
    </row>
    <row r="115" spans="8:8" ht="14.4" x14ac:dyDescent="0.3">
      <c r="H115" s="31"/>
    </row>
    <row r="116" spans="8:8" ht="14.4" x14ac:dyDescent="0.3">
      <c r="H116" s="31"/>
    </row>
    <row r="117" spans="8:8" ht="14.4" x14ac:dyDescent="0.3">
      <c r="H117" s="31"/>
    </row>
    <row r="118" spans="8:8" ht="14.4" x14ac:dyDescent="0.3">
      <c r="H118" s="31"/>
    </row>
    <row r="119" spans="8:8" ht="14.4" x14ac:dyDescent="0.3">
      <c r="H119" s="31"/>
    </row>
    <row r="120" spans="8:8" ht="14.4" x14ac:dyDescent="0.3">
      <c r="H120" s="31"/>
    </row>
    <row r="121" spans="8:8" ht="14.4" x14ac:dyDescent="0.3">
      <c r="H121" s="31"/>
    </row>
    <row r="122" spans="8:8" ht="14.4" x14ac:dyDescent="0.3">
      <c r="H122" s="31"/>
    </row>
    <row r="123" spans="8:8" ht="14.4" x14ac:dyDescent="0.3">
      <c r="H123" s="31"/>
    </row>
    <row r="124" spans="8:8" ht="14.4" x14ac:dyDescent="0.3">
      <c r="H124" s="31"/>
    </row>
    <row r="125" spans="8:8" ht="14.4" x14ac:dyDescent="0.3">
      <c r="H125" s="31"/>
    </row>
    <row r="126" spans="8:8" ht="14.4" x14ac:dyDescent="0.3">
      <c r="H126" s="31"/>
    </row>
    <row r="127" spans="8:8" ht="14.4" x14ac:dyDescent="0.3">
      <c r="H127" s="31"/>
    </row>
    <row r="128" spans="8:8" ht="14.4" x14ac:dyDescent="0.3">
      <c r="H128" s="31"/>
    </row>
    <row r="129" spans="8:8" ht="14.4" x14ac:dyDescent="0.3">
      <c r="H129" s="31"/>
    </row>
    <row r="130" spans="8:8" ht="14.4" x14ac:dyDescent="0.3">
      <c r="H130" s="31"/>
    </row>
    <row r="131" spans="8:8" ht="14.4" x14ac:dyDescent="0.3">
      <c r="H131" s="31"/>
    </row>
    <row r="132" spans="8:8" ht="14.4" x14ac:dyDescent="0.3">
      <c r="H132" s="31"/>
    </row>
    <row r="133" spans="8:8" ht="14.4" x14ac:dyDescent="0.3">
      <c r="H133" s="31"/>
    </row>
    <row r="134" spans="8:8" ht="14.4" x14ac:dyDescent="0.3">
      <c r="H134" s="31"/>
    </row>
    <row r="135" spans="8:8" ht="14.4" x14ac:dyDescent="0.3">
      <c r="H135" s="31"/>
    </row>
    <row r="136" spans="8:8" ht="14.4" x14ac:dyDescent="0.3">
      <c r="H136" s="31"/>
    </row>
    <row r="137" spans="8:8" ht="14.4" x14ac:dyDescent="0.3">
      <c r="H137" s="31"/>
    </row>
    <row r="138" spans="8:8" ht="14.4" x14ac:dyDescent="0.3">
      <c r="H138" s="31"/>
    </row>
    <row r="139" spans="8:8" ht="14.4" x14ac:dyDescent="0.3">
      <c r="H139" s="31"/>
    </row>
    <row r="140" spans="8:8" ht="14.4" x14ac:dyDescent="0.3">
      <c r="H140" s="31"/>
    </row>
    <row r="141" spans="8:8" ht="14.4" x14ac:dyDescent="0.3">
      <c r="H141" s="31"/>
    </row>
    <row r="142" spans="8:8" ht="14.4" x14ac:dyDescent="0.3">
      <c r="H142" s="31"/>
    </row>
    <row r="143" spans="8:8" ht="14.4" x14ac:dyDescent="0.3">
      <c r="H143" s="31"/>
    </row>
    <row r="144" spans="8:8" ht="14.4" x14ac:dyDescent="0.3">
      <c r="H144" s="31"/>
    </row>
    <row r="145" spans="8:8" ht="14.4" x14ac:dyDescent="0.3">
      <c r="H145" s="31"/>
    </row>
    <row r="146" spans="8:8" ht="14.4" x14ac:dyDescent="0.3">
      <c r="H146" s="31"/>
    </row>
    <row r="147" spans="8:8" ht="14.4" x14ac:dyDescent="0.3">
      <c r="H147" s="31"/>
    </row>
    <row r="148" spans="8:8" ht="14.4" x14ac:dyDescent="0.3">
      <c r="H148" s="31"/>
    </row>
    <row r="149" spans="8:8" ht="14.4" x14ac:dyDescent="0.3">
      <c r="H149" s="31"/>
    </row>
    <row r="150" spans="8:8" ht="14.4" x14ac:dyDescent="0.3">
      <c r="H150" s="31"/>
    </row>
    <row r="151" spans="8:8" ht="14.4" x14ac:dyDescent="0.3">
      <c r="H151" s="31"/>
    </row>
    <row r="152" spans="8:8" ht="14.4" x14ac:dyDescent="0.3">
      <c r="H152" s="31"/>
    </row>
    <row r="153" spans="8:8" ht="14.4" x14ac:dyDescent="0.3">
      <c r="H153" s="31"/>
    </row>
    <row r="154" spans="8:8" ht="14.4" x14ac:dyDescent="0.3">
      <c r="H154" s="31"/>
    </row>
    <row r="155" spans="8:8" ht="14.4" x14ac:dyDescent="0.3">
      <c r="H155" s="31"/>
    </row>
    <row r="156" spans="8:8" ht="14.4" x14ac:dyDescent="0.3">
      <c r="H156" s="31"/>
    </row>
    <row r="157" spans="8:8" ht="14.4" x14ac:dyDescent="0.3">
      <c r="H157" s="31"/>
    </row>
    <row r="158" spans="8:8" ht="14.4" x14ac:dyDescent="0.3">
      <c r="H158" s="31"/>
    </row>
    <row r="159" spans="8:8" ht="14.4" x14ac:dyDescent="0.3">
      <c r="H159" s="31"/>
    </row>
    <row r="160" spans="8:8" ht="14.4" x14ac:dyDescent="0.3">
      <c r="H160" s="31"/>
    </row>
    <row r="161" spans="8:8" ht="14.4" x14ac:dyDescent="0.3">
      <c r="H161" s="31"/>
    </row>
    <row r="162" spans="8:8" ht="14.4" x14ac:dyDescent="0.3">
      <c r="H162" s="31"/>
    </row>
    <row r="163" spans="8:8" ht="14.4" x14ac:dyDescent="0.3">
      <c r="H163" s="31"/>
    </row>
    <row r="164" spans="8:8" ht="14.4" x14ac:dyDescent="0.3">
      <c r="H164" s="31"/>
    </row>
    <row r="165" spans="8:8" ht="14.4" x14ac:dyDescent="0.3">
      <c r="H165" s="31"/>
    </row>
    <row r="166" spans="8:8" ht="14.4" x14ac:dyDescent="0.3">
      <c r="H166" s="31"/>
    </row>
    <row r="167" spans="8:8" ht="14.4" x14ac:dyDescent="0.3">
      <c r="H167" s="31"/>
    </row>
    <row r="168" spans="8:8" ht="14.4" x14ac:dyDescent="0.3">
      <c r="H168" s="31"/>
    </row>
    <row r="169" spans="8:8" ht="14.4" x14ac:dyDescent="0.3">
      <c r="H169" s="31"/>
    </row>
    <row r="170" spans="8:8" ht="14.4" x14ac:dyDescent="0.3">
      <c r="H170" s="31"/>
    </row>
    <row r="171" spans="8:8" ht="14.4" x14ac:dyDescent="0.3">
      <c r="H171" s="31"/>
    </row>
    <row r="172" spans="8:8" ht="14.4" x14ac:dyDescent="0.3">
      <c r="H172" s="31"/>
    </row>
    <row r="173" spans="8:8" ht="14.4" x14ac:dyDescent="0.3">
      <c r="H173" s="31"/>
    </row>
    <row r="174" spans="8:8" ht="14.4" x14ac:dyDescent="0.3">
      <c r="H174" s="31"/>
    </row>
    <row r="175" spans="8:8" ht="14.4" x14ac:dyDescent="0.3">
      <c r="H175" s="31"/>
    </row>
    <row r="176" spans="8:8" ht="14.4" x14ac:dyDescent="0.3">
      <c r="H176" s="31"/>
    </row>
    <row r="177" spans="8:8" ht="14.4" x14ac:dyDescent="0.3">
      <c r="H177" s="31"/>
    </row>
    <row r="178" spans="8:8" ht="14.4" x14ac:dyDescent="0.3">
      <c r="H178" s="31"/>
    </row>
    <row r="179" spans="8:8" ht="14.4" x14ac:dyDescent="0.3">
      <c r="H179" s="31"/>
    </row>
    <row r="180" spans="8:8" ht="14.4" x14ac:dyDescent="0.3">
      <c r="H180" s="31"/>
    </row>
    <row r="181" spans="8:8" ht="14.4" x14ac:dyDescent="0.3">
      <c r="H181" s="31"/>
    </row>
    <row r="182" spans="8:8" ht="14.4" x14ac:dyDescent="0.3">
      <c r="H182" s="31"/>
    </row>
    <row r="183" spans="8:8" ht="14.4" x14ac:dyDescent="0.3">
      <c r="H183" s="31"/>
    </row>
    <row r="184" spans="8:8" ht="14.4" x14ac:dyDescent="0.3">
      <c r="H184" s="31"/>
    </row>
    <row r="185" spans="8:8" ht="14.4" x14ac:dyDescent="0.3">
      <c r="H185" s="31"/>
    </row>
    <row r="186" spans="8:8" ht="14.4" x14ac:dyDescent="0.3">
      <c r="H186" s="31"/>
    </row>
    <row r="187" spans="8:8" ht="14.4" x14ac:dyDescent="0.3">
      <c r="H187" s="31"/>
    </row>
    <row r="188" spans="8:8" ht="14.4" x14ac:dyDescent="0.3">
      <c r="H188" s="31"/>
    </row>
    <row r="189" spans="8:8" ht="14.4" x14ac:dyDescent="0.3">
      <c r="H189" s="31"/>
    </row>
  </sheetData>
  <dataValidations count="1">
    <dataValidation allowBlank="1" showErrorMessage="1" sqref="B4 B1:B2" xr:uid="{00000000-0002-0000-0300-000000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5"/>
  <sheetViews>
    <sheetView tabSelected="1" workbookViewId="0">
      <selection activeCell="B10" sqref="B10"/>
    </sheetView>
  </sheetViews>
  <sheetFormatPr defaultRowHeight="11.4" x14ac:dyDescent="0.2"/>
  <cols>
    <col min="1" max="1" width="2" style="32" customWidth="1"/>
    <col min="2" max="2" width="19" style="32" customWidth="1"/>
    <col min="3" max="3" width="13.109375" style="32" bestFit="1" customWidth="1"/>
    <col min="4" max="16384" width="8.88671875" style="32"/>
  </cols>
  <sheetData>
    <row r="1" spans="2:3" ht="15.6" x14ac:dyDescent="0.2">
      <c r="B1" s="24" t="s">
        <v>527</v>
      </c>
    </row>
    <row r="2" spans="2:3" ht="12" x14ac:dyDescent="0.2">
      <c r="B2" s="25" t="s">
        <v>541</v>
      </c>
    </row>
    <row r="4" spans="2:3" ht="12" x14ac:dyDescent="0.25">
      <c r="B4" s="42" t="s">
        <v>549</v>
      </c>
      <c r="C4" s="41"/>
    </row>
    <row r="5" spans="2:3" x14ac:dyDescent="0.2">
      <c r="B5" s="43"/>
      <c r="C5" s="41"/>
    </row>
    <row r="6" spans="2:3" x14ac:dyDescent="0.2">
      <c r="B6" s="53" t="s">
        <v>575</v>
      </c>
      <c r="C6" s="16">
        <f>_xlfn.COVARIANCE.P('365RE'!I6:I272,'365RE'!H6:H272)</f>
        <v>24057280.820478722</v>
      </c>
    </row>
    <row r="7" spans="2:3" x14ac:dyDescent="0.2">
      <c r="B7" s="32" t="s">
        <v>576</v>
      </c>
      <c r="C7" s="32">
        <f>CORREL('365RE'!I6:I272,'365RE'!H6:H272)</f>
        <v>0.95108737743161964</v>
      </c>
    </row>
    <row r="9" spans="2:3" x14ac:dyDescent="0.2">
      <c r="B9" s="32" t="s">
        <v>577</v>
      </c>
    </row>
    <row r="25" spans="2:2" x14ac:dyDescent="0.2">
      <c r="B25" s="26"/>
    </row>
  </sheetData>
  <dataValidations count="1">
    <dataValidation allowBlank="1" showErrorMessage="1" sqref="B1:B2" xr:uid="{00000000-0002-0000-0400-000000000000}"/>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365RE</vt:lpstr>
      <vt:lpstr>Task 1</vt:lpstr>
      <vt:lpstr>Tasks 2,3,4</vt:lpstr>
      <vt:lpstr>Task 5</vt:lpstr>
      <vt:lpstr>Tasks 6,7</vt:lpstr>
      <vt:lpstr>Tasks 8,9</vt:lpstr>
      <vt:lpstr>Task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Segun Longe</cp:lastModifiedBy>
  <dcterms:created xsi:type="dcterms:W3CDTF">2017-06-08T15:05:34Z</dcterms:created>
  <dcterms:modified xsi:type="dcterms:W3CDTF">2023-07-26T16:06:10Z</dcterms:modified>
</cp:coreProperties>
</file>