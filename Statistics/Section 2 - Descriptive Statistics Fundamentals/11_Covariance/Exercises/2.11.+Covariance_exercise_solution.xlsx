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2 - Descriptive Statistics Fundamentals\11_Covariance_\Exercises\"/>
    </mc:Choice>
  </mc:AlternateContent>
  <xr:revisionPtr revIDLastSave="0" documentId="13_ncr:1_{FE2E0734-E59A-4D8E-BD59-AB60F47769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variance" sheetId="13" r:id="rId1"/>
    <sheet name="cov" sheetId="10" state="hidden" r:id="rId2"/>
    <sheet name="Covariance2" sheetId="11" state="hidden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3" l="1"/>
  <c r="D18" i="13" l="1"/>
  <c r="C18" i="13"/>
  <c r="G13" i="13" s="1"/>
  <c r="D11" i="10"/>
  <c r="C11" i="10"/>
  <c r="G6" i="10" s="1"/>
  <c r="D11" i="11"/>
  <c r="C11" i="11"/>
  <c r="G6" i="11" s="1"/>
  <c r="G12" i="13" l="1"/>
  <c r="G16" i="13"/>
  <c r="G15" i="13"/>
  <c r="G14" i="13"/>
  <c r="G9" i="10"/>
  <c r="G10" i="10"/>
  <c r="G8" i="10"/>
  <c r="G7" i="10"/>
  <c r="G8" i="11"/>
  <c r="G11" i="11" s="1"/>
  <c r="G13" i="11" s="1"/>
  <c r="G9" i="11"/>
  <c r="G10" i="11"/>
  <c r="G7" i="11"/>
  <c r="G18" i="13" l="1"/>
  <c r="G20" i="13" s="1"/>
  <c r="G11" i="10"/>
  <c r="G13" i="10" s="1"/>
</calcChain>
</file>

<file path=xl/sharedStrings.xml><?xml version="1.0" encoding="utf-8"?>
<sst xmlns="http://schemas.openxmlformats.org/spreadsheetml/2006/main" count="43" uniqueCount="28">
  <si>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</si>
  <si>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</si>
  <si>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</si>
  <si>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</si>
  <si>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</si>
  <si>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</si>
  <si>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</si>
  <si>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</si>
  <si>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</si>
  <si>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</si>
  <si>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</si>
  <si>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</si>
  <si>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Determine if this is sample or population</t>
  </si>
  <si>
    <t>Calculate the covariance of the two datasets</t>
  </si>
  <si>
    <t>You are given data on the SAT reading and writing scores of several students from our lesson on cross tables and scatter plots</t>
  </si>
  <si>
    <t>Reading</t>
  </si>
  <si>
    <t>Writing</t>
  </si>
  <si>
    <t>Task 3</t>
  </si>
  <si>
    <t>Plot the data on scatter plot and using your previous knowledge comment on whether there is a noticeable relationship between the two variables.</t>
  </si>
  <si>
    <t>Solution:</t>
  </si>
  <si>
    <t>SAT scores</t>
  </si>
  <si>
    <t xml:space="preserve">Task 1: </t>
  </si>
  <si>
    <t>This is obviously a sample of only 5 students.</t>
  </si>
  <si>
    <t xml:space="preserve">Task 2: </t>
  </si>
  <si>
    <t xml:space="preserve">Task 3: </t>
  </si>
  <si>
    <t xml:space="preserve">The covariance is </t>
  </si>
  <si>
    <t>You can get two scatter plots, which look in the following ways.</t>
  </si>
  <si>
    <t>There is a noticeable relationship between the two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</si>
</sst>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#,##0_);\-\ #,##0_)"/>
    <numFmt numFmtId="167" formatCode="#,##0.00_);\-\ #,##0.00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5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5" fontId="2" fillId="2" borderId="2" xfId="1" applyNumberFormat="1" applyFont="1" applyFill="1" applyBorder="1"/>
    <xf numFmtId="164" fontId="2" fillId="2" borderId="0" xfId="1" applyNumberFormat="1" applyFont="1" applyFill="1"/>
    <xf numFmtId="164" fontId="2" fillId="2" borderId="0" xfId="0" applyNumberFormat="1" applyFont="1" applyFill="1"/>
    <xf numFmtId="0" fontId="5" fillId="2" borderId="0" xfId="0" applyFont="1" applyFill="1" applyAlignment="1">
      <alignment horizontal="right"/>
    </xf>
    <xf numFmtId="166" fontId="2" fillId="2" borderId="0" xfId="1" applyNumberFormat="1" applyFont="1" applyFill="1"/>
    <xf numFmtId="166" fontId="2" fillId="2" borderId="2" xfId="1" applyNumberFormat="1" applyFont="1" applyFill="1" applyBorder="1"/>
    <xf numFmtId="0" fontId="2" fillId="2" borderId="0" xfId="0" applyFont="1" applyFill="1" applyBorder="1"/>
    <xf numFmtId="166" fontId="2" fillId="2" borderId="0" xfId="1" applyNumberFormat="1" applyFont="1" applyFill="1" applyBorder="1"/>
    <xf numFmtId="0" fontId="5" fillId="2" borderId="0" xfId="0" applyFont="1" applyFill="1" applyBorder="1"/>
    <xf numFmtId="164" fontId="2" fillId="2" borderId="0" xfId="0" applyNumberFormat="1" applyFont="1" applyFill="1" applyBorder="1"/>
    <xf numFmtId="165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164" fontId="2" fillId="2" borderId="0" xfId="1" applyFont="1" applyFill="1"/>
    <xf numFmtId="167" fontId="2" fillId="2" borderId="0" xfId="1" applyNumberFormat="1" applyFont="1" applyFill="1"/>
    <xf numFmtId="167" fontId="2" fillId="2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2-4374-84FF-71EA33FB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xVal>
          <c:y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8-4603-97EC-2BB6F65F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31798</xdr:colOff>
      <xdr:row>20</xdr:row>
      <xdr:rowOff>110269</xdr:rowOff>
    </xdr:from>
    <xdr:to>
      <xdr:col>6</xdr:col>
      <xdr:colOff>869998</xdr:colOff>
      <xdr:row>35</xdr:row>
      <xdr:rowOff>46378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8B144-0028-49AC-A86C-76FA18FA3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30480</xdr:colOff>
      <xdr:row>35</xdr:row>
      <xdr:rowOff>80889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73D3C1-468C-4128-B17D-8AF221CC2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M23"/>
  <sheetViews>
    <sheetView tabSelected="1" zoomScale="110" zoomScaleNormal="110" workbookViewId="0">
      <selection activeCell="R19" sqref="R19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11.109375" style="1" customWidth="1"/>
    <col min="5" max="5" width="9.109375" style="1"/>
    <col min="6" max="6" width="18.77734375" style="1" customWidth="1"/>
    <col min="7" max="7" width="14" style="1" customWidth="1"/>
    <col min="8" max="11" width="9.109375" style="1"/>
    <col min="12" max="12" width="4.88671875" style="1" customWidth="1"/>
    <col min="13" max="13" width="9.5546875" style="1" bestFit="1" customWidth="1"/>
    <col min="14" max="16384" width="9.109375" style="1"/>
  </cols>
  <sheetData>
    <row r="1" spans="2:13" ht="15.6" x14ac:dyDescent="0.3">
      <c r="B1" s="2" t="s">
        <v>1</v>
      </c>
      <c r="F1" s="13"/>
      <c r="G1" s="13"/>
      <c r="H1" s="13"/>
    </row>
    <row r="2" spans="2:13" ht="12" x14ac:dyDescent="0.25">
      <c r="B2" s="5" t="s">
        <v>20</v>
      </c>
      <c r="F2" s="13"/>
      <c r="G2" s="13"/>
      <c r="H2" s="13"/>
    </row>
    <row r="3" spans="2:13" ht="12" x14ac:dyDescent="0.25">
      <c r="B3" s="5"/>
      <c r="F3" s="13"/>
      <c r="G3" s="13"/>
      <c r="H3" s="13"/>
    </row>
    <row r="4" spans="2:13" ht="12" x14ac:dyDescent="0.25">
      <c r="B4" s="5" t="s">
        <v>9</v>
      </c>
      <c r="D4" s="1" t="s">
        <v>14</v>
      </c>
      <c r="F4" s="13"/>
      <c r="G4" s="13"/>
      <c r="H4" s="13"/>
    </row>
    <row r="5" spans="2:13" ht="12" x14ac:dyDescent="0.25">
      <c r="B5" s="5" t="s">
        <v>10</v>
      </c>
      <c r="D5" s="1" t="s">
        <v>12</v>
      </c>
      <c r="F5" s="13"/>
      <c r="G5" s="13"/>
      <c r="H5" s="13"/>
    </row>
    <row r="6" spans="2:13" ht="12" x14ac:dyDescent="0.25">
      <c r="B6" s="5" t="s">
        <v>11</v>
      </c>
      <c r="D6" s="1" t="s">
        <v>13</v>
      </c>
      <c r="F6" s="13"/>
      <c r="G6" s="13"/>
      <c r="H6" s="13"/>
    </row>
    <row r="7" spans="2:13" ht="12" x14ac:dyDescent="0.25">
      <c r="B7" s="5" t="s">
        <v>17</v>
      </c>
      <c r="D7" s="1" t="s">
        <v>18</v>
      </c>
      <c r="F7" s="13"/>
      <c r="G7" s="13"/>
      <c r="H7" s="13"/>
    </row>
    <row r="8" spans="2:13" x14ac:dyDescent="0.2">
      <c r="F8" s="13"/>
      <c r="G8" s="13"/>
      <c r="H8" s="13"/>
    </row>
    <row r="9" spans="2:13" ht="12" x14ac:dyDescent="0.25">
      <c r="B9" s="5" t="s">
        <v>19</v>
      </c>
      <c r="F9" s="13"/>
      <c r="G9" s="13"/>
      <c r="H9" s="13"/>
    </row>
    <row r="10" spans="2:13" ht="12" x14ac:dyDescent="0.25">
      <c r="B10" s="5"/>
      <c r="F10" s="13"/>
      <c r="G10" s="13"/>
      <c r="H10" s="13"/>
    </row>
    <row r="11" spans="2:13" ht="16.2" thickBot="1" x14ac:dyDescent="0.35">
      <c r="C11" s="3" t="s">
        <v>16</v>
      </c>
      <c r="D11" s="3" t="s">
        <v>15</v>
      </c>
      <c r="G11" s="18" t="s">
        <v>3</v>
      </c>
      <c r="H11" s="13"/>
      <c r="J11" s="5" t="s">
        <v>21</v>
      </c>
      <c r="K11" s="1" t="s">
        <v>22</v>
      </c>
    </row>
    <row r="12" spans="2:13" ht="12" x14ac:dyDescent="0.25">
      <c r="C12" s="19">
        <v>344</v>
      </c>
      <c r="D12" s="19">
        <v>378</v>
      </c>
      <c r="G12" s="22">
        <f>(C12-$C$18)*(D12-$D$18)</f>
        <v>19490.159999999993</v>
      </c>
      <c r="H12" s="13"/>
      <c r="J12" s="5" t="s">
        <v>23</v>
      </c>
      <c r="K12" s="1" t="s">
        <v>25</v>
      </c>
      <c r="M12" s="21">
        <v>21155.55</v>
      </c>
    </row>
    <row r="13" spans="2:13" ht="12" x14ac:dyDescent="0.25">
      <c r="C13" s="19">
        <v>383</v>
      </c>
      <c r="D13" s="19">
        <v>349</v>
      </c>
      <c r="G13" s="22">
        <f>(C13-$C$18)*(D13-$D$18)</f>
        <v>19004.159999999993</v>
      </c>
      <c r="H13" s="13"/>
      <c r="J13" s="5" t="s">
        <v>24</v>
      </c>
      <c r="K13" s="1" t="s">
        <v>26</v>
      </c>
    </row>
    <row r="14" spans="2:13" x14ac:dyDescent="0.2">
      <c r="C14" s="19">
        <v>611</v>
      </c>
      <c r="D14" s="19">
        <v>503</v>
      </c>
      <c r="G14" s="22">
        <f>(C14-$C$18)*(D14-$D$18)</f>
        <v>1179.3600000000024</v>
      </c>
      <c r="H14" s="13"/>
      <c r="K14" s="1" t="s">
        <v>27</v>
      </c>
    </row>
    <row r="15" spans="2:13" x14ac:dyDescent="0.2">
      <c r="C15" s="19">
        <v>713</v>
      </c>
      <c r="D15" s="19">
        <v>719</v>
      </c>
      <c r="G15" s="22">
        <f>(C15-$C$18)*(D15-$D$18)</f>
        <v>44714.160000000011</v>
      </c>
      <c r="H15" s="13"/>
    </row>
    <row r="16" spans="2:13" x14ac:dyDescent="0.2">
      <c r="C16" s="20">
        <v>536</v>
      </c>
      <c r="D16" s="20">
        <v>503</v>
      </c>
      <c r="G16" s="22">
        <f>(C16-$C$18)*(D16-$D$18)</f>
        <v>234.3600000000007</v>
      </c>
      <c r="H16" s="13"/>
    </row>
    <row r="17" spans="2:8" x14ac:dyDescent="0.2">
      <c r="H17" s="13"/>
    </row>
    <row r="18" spans="2:8" ht="12" x14ac:dyDescent="0.25">
      <c r="B18" s="10" t="s">
        <v>2</v>
      </c>
      <c r="C18" s="4">
        <f>AVERAGE(C12:C16)</f>
        <v>517.4</v>
      </c>
      <c r="D18" s="4">
        <f>AVERAGE(D12:D16)</f>
        <v>490.4</v>
      </c>
      <c r="F18" s="5" t="s">
        <v>4</v>
      </c>
      <c r="G18" s="23">
        <f>SUM(G12:G16)</f>
        <v>84622.2</v>
      </c>
      <c r="H18" s="13"/>
    </row>
    <row r="19" spans="2:8" ht="12" x14ac:dyDescent="0.25">
      <c r="B19" s="5"/>
      <c r="C19" s="8"/>
      <c r="D19" s="8"/>
      <c r="F19" s="5" t="s">
        <v>5</v>
      </c>
      <c r="G19" s="14">
        <f>COUNT(C12:C16)</f>
        <v>5</v>
      </c>
      <c r="H19" s="13"/>
    </row>
    <row r="20" spans="2:8" ht="12" x14ac:dyDescent="0.25">
      <c r="B20" s="5"/>
      <c r="C20" s="4"/>
      <c r="D20" s="4"/>
      <c r="F20" s="5" t="s">
        <v>6</v>
      </c>
      <c r="G20" s="22">
        <f>G18/(G19-1)</f>
        <v>21155.55</v>
      </c>
      <c r="H20" s="13"/>
    </row>
    <row r="21" spans="2:8" x14ac:dyDescent="0.2">
      <c r="F21" s="13"/>
      <c r="G21" s="13"/>
      <c r="H21" s="13"/>
    </row>
    <row r="22" spans="2:8" ht="12" x14ac:dyDescent="0.25">
      <c r="F22" s="15"/>
      <c r="G22" s="16"/>
      <c r="H22" s="13"/>
    </row>
    <row r="23" spans="2:8" x14ac:dyDescent="0.2">
      <c r="F23" s="13"/>
      <c r="G23" s="13"/>
      <c r="H23" s="13"/>
    </row>
  </sheetData>
  <sortState xmlns:xlrd2="http://schemas.microsoft.com/office/spreadsheetml/2017/richdata2" ref="G12:G20">
    <sortCondition descending="1" ref="G1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4">
        <v>650</v>
      </c>
      <c r="D6" s="4">
        <v>772000</v>
      </c>
      <c r="G6" s="11">
        <f>(C6-$C$11)*(D6-$D$11)</f>
        <v>34776000</v>
      </c>
    </row>
    <row r="7" spans="2:7" x14ac:dyDescent="0.2">
      <c r="C7" s="4">
        <v>785</v>
      </c>
      <c r="D7" s="4">
        <v>998000</v>
      </c>
      <c r="G7" s="11">
        <f>(C7-$C$11)*(D7-$D$11)</f>
        <v>-5265000</v>
      </c>
    </row>
    <row r="8" spans="2:7" x14ac:dyDescent="0.2">
      <c r="C8" s="4">
        <v>1200</v>
      </c>
      <c r="D8" s="4">
        <v>1200000</v>
      </c>
      <c r="G8" s="11">
        <f>(C8-$C$11)*(D8-$D$11)</f>
        <v>89178000</v>
      </c>
    </row>
    <row r="9" spans="2:7" x14ac:dyDescent="0.2">
      <c r="C9" s="4">
        <v>720</v>
      </c>
      <c r="D9" s="4">
        <v>800000</v>
      </c>
      <c r="G9" s="11">
        <f>(C9-$C$11)*(D9-$D$11)</f>
        <v>19418000</v>
      </c>
    </row>
    <row r="10" spans="2:7" x14ac:dyDescent="0.2">
      <c r="C10" s="7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1">
        <v>650</v>
      </c>
      <c r="D6" s="4">
        <v>772000</v>
      </c>
      <c r="G6" s="11">
        <f>(C6-$C$11)*(D6-$D$11)</f>
        <v>34776000</v>
      </c>
    </row>
    <row r="7" spans="2:7" x14ac:dyDescent="0.2">
      <c r="C7" s="1">
        <v>785</v>
      </c>
      <c r="D7" s="4">
        <v>998000</v>
      </c>
      <c r="G7" s="11">
        <f>(C7-$C$11)*(D7-$D$11)</f>
        <v>-5265000</v>
      </c>
    </row>
    <row r="8" spans="2:7" x14ac:dyDescent="0.2">
      <c r="C8" s="1">
        <v>1200</v>
      </c>
      <c r="D8" s="4">
        <v>1200000</v>
      </c>
      <c r="G8" s="11">
        <f>(C8-$C$11)*(D8-$D$11)</f>
        <v>89178000</v>
      </c>
    </row>
    <row r="9" spans="2:7" x14ac:dyDescent="0.2">
      <c r="C9" s="1">
        <v>720</v>
      </c>
      <c r="D9" s="4">
        <v>800000</v>
      </c>
      <c r="G9" s="11">
        <f>(C9-$C$11)*(D9-$D$11)</f>
        <v>19418000</v>
      </c>
    </row>
    <row r="10" spans="2:7" x14ac:dyDescent="0.2">
      <c r="C10" s="6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13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Segun Longe</cp:lastModifiedBy>
  <dcterms:created xsi:type="dcterms:W3CDTF">2017-03-21T13:09:44Z</dcterms:created>
  <dcterms:modified xsi:type="dcterms:W3CDTF">2026-05-04T22:01:58Z</dcterms:modified>
</cp:coreProperties>
</file>