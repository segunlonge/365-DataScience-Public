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long\365 Data Science\Statistics_\Section 2 - Descriptive Statistics Fundamentals\11_Covariance_\Course notes\"/>
    </mc:Choice>
  </mc:AlternateContent>
  <xr:revisionPtr revIDLastSave="0" documentId="13_ncr:1_{00829E49-96DE-4806-98C6-D279B54AF40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Covariance" sheetId="13" r:id="rId1"/>
    <sheet name="cov" sheetId="10" state="hidden" r:id="rId2"/>
    <sheet name="Covariance2" sheetId="11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3" i="13" l="1"/>
  <c r="G12" i="13"/>
  <c r="G11" i="13"/>
  <c r="G6" i="13"/>
  <c r="D11" i="13" l="1"/>
  <c r="C11" i="13"/>
  <c r="G7" i="13" s="1"/>
  <c r="D11" i="10"/>
  <c r="C11" i="10"/>
  <c r="G6" i="10" s="1"/>
  <c r="D11" i="11"/>
  <c r="C11" i="11"/>
  <c r="G6" i="11" s="1"/>
  <c r="G10" i="13" l="1"/>
  <c r="G9" i="13"/>
  <c r="G8" i="13"/>
  <c r="G9" i="10"/>
  <c r="G10" i="10"/>
  <c r="G8" i="10"/>
  <c r="G7" i="10"/>
  <c r="G8" i="11"/>
  <c r="G9" i="11"/>
  <c r="G10" i="11"/>
  <c r="G7" i="11"/>
  <c r="G11" i="11" l="1"/>
  <c r="G13" i="11" s="1"/>
  <c r="G11" i="10"/>
  <c r="G13" i="10" s="1"/>
</calcChain>
</file>

<file path=xl/sharedStrings.xml><?xml version="1.0" encoding="utf-8"?>
<sst xmlns="http://schemas.openxmlformats.org/spreadsheetml/2006/main" count="27" uniqueCount="9">
  <si>
    <t>Housing data</t>
  </si>
  <si>
    <t>Covariance</t>
  </si>
  <si>
    <t>Mean</t>
  </si>
  <si>
    <t>(x-x̅)*(y-ȳ)</t>
  </si>
  <si>
    <t>Sum</t>
  </si>
  <si>
    <t>Sample size</t>
  </si>
  <si>
    <t>Cov. Sample</t>
  </si>
  <si>
    <t>Size (ft.)</t>
  </si>
  <si>
    <t>Price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</si>
</sst>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#,##0_);\-\ #,##0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9"/>
      <color rgb="FF002060"/>
      <name val="Arial"/>
      <family val="2"/>
      <charset val="204"/>
    </font>
    <font>
      <b/>
      <sz val="9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thin">
        <color rgb="FF00206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1" xfId="0" applyFont="1" applyFill="1" applyBorder="1" applyAlignment="1">
      <alignment horizontal="right"/>
    </xf>
    <xf numFmtId="165" fontId="2" fillId="2" borderId="0" xfId="1" applyNumberFormat="1" applyFont="1" applyFill="1"/>
    <xf numFmtId="0" fontId="5" fillId="2" borderId="0" xfId="0" applyFont="1" applyFill="1"/>
    <xf numFmtId="0" fontId="2" fillId="2" borderId="2" xfId="0" applyFont="1" applyFill="1" applyBorder="1"/>
    <xf numFmtId="165" fontId="2" fillId="2" borderId="2" xfId="1" applyNumberFormat="1" applyFont="1" applyFill="1" applyBorder="1"/>
    <xf numFmtId="164" fontId="2" fillId="2" borderId="0" xfId="1" applyNumberFormat="1" applyFont="1" applyFill="1"/>
    <xf numFmtId="164" fontId="2" fillId="2" borderId="0" xfId="0" applyNumberFormat="1" applyFont="1" applyFill="1"/>
    <xf numFmtId="0" fontId="5" fillId="2" borderId="0" xfId="0" applyFont="1" applyFill="1" applyAlignment="1">
      <alignment horizontal="right"/>
    </xf>
    <xf numFmtId="166" fontId="2" fillId="2" borderId="0" xfId="1" applyNumberFormat="1" applyFont="1" applyFill="1"/>
    <xf numFmtId="166" fontId="2" fillId="2" borderId="2" xfId="1" applyNumberFormat="1" applyFont="1" applyFill="1" applyBorder="1"/>
    <xf numFmtId="0" fontId="2" fillId="2" borderId="0" xfId="0" applyFont="1" applyFill="1" applyBorder="1"/>
    <xf numFmtId="166" fontId="2" fillId="2" borderId="0" xfId="1" applyNumberFormat="1" applyFont="1" applyFill="1" applyBorder="1"/>
    <xf numFmtId="0" fontId="5" fillId="2" borderId="0" xfId="0" applyFont="1" applyFill="1" applyBorder="1"/>
    <xf numFmtId="164" fontId="2" fillId="2" borderId="0" xfId="0" applyNumberFormat="1" applyFont="1" applyFill="1" applyBorder="1"/>
    <xf numFmtId="165" fontId="2" fillId="2" borderId="0" xfId="1" applyNumberFormat="1" applyFont="1" applyFill="1" applyBorder="1"/>
    <xf numFmtId="0" fontId="3" fillId="2" borderId="1" xfId="0" applyFont="1" applyFill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Covariance!$C$6:$C$10</c:f>
              <c:numCache>
                <c:formatCode>General</c:formatCode>
                <c:ptCount val="5"/>
                <c:pt idx="0">
                  <c:v>650</c:v>
                </c:pt>
                <c:pt idx="1">
                  <c:v>785</c:v>
                </c:pt>
                <c:pt idx="2">
                  <c:v>1200</c:v>
                </c:pt>
                <c:pt idx="3">
                  <c:v>720</c:v>
                </c:pt>
                <c:pt idx="4">
                  <c:v>975</c:v>
                </c:pt>
              </c:numCache>
            </c:numRef>
          </c:xVal>
          <c:yVal>
            <c:numRef>
              <c:f>Covariance!$D$6:$D$10</c:f>
              <c:numCache>
                <c:formatCode>_(* #,##0_);_(* \(#,##0\);_(* "-"??_);_(@_)</c:formatCode>
                <c:ptCount val="5"/>
                <c:pt idx="0">
                  <c:v>772000</c:v>
                </c:pt>
                <c:pt idx="1">
                  <c:v>998000</c:v>
                </c:pt>
                <c:pt idx="2">
                  <c:v>1200000</c:v>
                </c:pt>
                <c:pt idx="3">
                  <c:v>800000</c:v>
                </c:pt>
                <c:pt idx="4">
                  <c:v>895000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B2-4374-84FF-71EA33FB9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316976"/>
        <c:axId val="267317632"/>
      </c:scatterChart>
      <c:valAx>
        <c:axId val="26731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Size 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317632"/>
        <c:crosses val="autoZero"/>
        <c:crossBetween val="midCat"/>
      </c:valAx>
      <c:valAx>
        <c:axId val="26731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Price (y)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316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Covariance2!$C$6:$C$10</c:f>
              <c:numCache>
                <c:formatCode>General</c:formatCode>
                <c:ptCount val="5"/>
                <c:pt idx="0">
                  <c:v>650</c:v>
                </c:pt>
                <c:pt idx="1">
                  <c:v>785</c:v>
                </c:pt>
                <c:pt idx="2">
                  <c:v>1200</c:v>
                </c:pt>
                <c:pt idx="3">
                  <c:v>720</c:v>
                </c:pt>
                <c:pt idx="4">
                  <c:v>975</c:v>
                </c:pt>
              </c:numCache>
            </c:numRef>
          </c:xVal>
          <c:yVal>
            <c:numRef>
              <c:f>Covariance2!$D$6:$D$10</c:f>
              <c:numCache>
                <c:formatCode>_(* #,##0_);_(* \(#,##0\);_(* "-"??_);_(@_)</c:formatCode>
                <c:ptCount val="5"/>
                <c:pt idx="0">
                  <c:v>772000</c:v>
                </c:pt>
                <c:pt idx="1">
                  <c:v>998000</c:v>
                </c:pt>
                <c:pt idx="2">
                  <c:v>1200000</c:v>
                </c:pt>
                <c:pt idx="3">
                  <c:v>800000</c:v>
                </c:pt>
                <c:pt idx="4">
                  <c:v>895000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25-4DFB-8586-732A1FE26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316976"/>
        <c:axId val="267317632"/>
      </c:scatterChart>
      <c:valAx>
        <c:axId val="26731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Size 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317632"/>
        <c:crosses val="autoZero"/>
        <c:crossBetween val="midCat"/>
      </c:valAx>
      <c:valAx>
        <c:axId val="26731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Price (y)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316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31798</xdr:colOff>
      <xdr:row>14</xdr:row>
      <xdr:rowOff>110269</xdr:rowOff>
    </xdr:from>
    <xdr:to>
      <xdr:col>6</xdr:col>
      <xdr:colOff>869998</xdr:colOff>
      <xdr:row>29</xdr:row>
      <xdr:rowOff>46378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58B144-0028-49AC-A86C-76FA18FA35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131618</xdr:colOff>
      <xdr:row>4</xdr:row>
      <xdr:rowOff>27709</xdr:rowOff>
    </xdr:from>
    <xdr:to>
      <xdr:col>14</xdr:col>
      <xdr:colOff>609600</xdr:colOff>
      <xdr:row>23</xdr:row>
      <xdr:rowOff>13855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5266B8B-834F-4149-A32C-73D8876808F9}"/>
            </a:ext>
          </a:extLst>
        </xdr:cNvPr>
        <xdr:cNvSpPr txBox="1"/>
      </xdr:nvSpPr>
      <xdr:spPr>
        <a:xfrm>
          <a:off x="4696691" y="671945"/>
          <a:ext cx="4842164" cy="28471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Covariance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is a way to measure how two different things</a:t>
          </a:r>
          <a:r>
            <a:rPr lang="en-GB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change together</a:t>
          </a:r>
          <a:r>
            <a:rPr lang="en-GB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for example; the height of plants and the amount of watering they receive.</a:t>
          </a:r>
        </a:p>
        <a:p>
          <a:endParaRPr lang="en-GB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Positive covariance</a:t>
          </a:r>
          <a:r>
            <a:rPr lang="en-GB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The two things go up at the same time. The more hours you put in the better results you get</a:t>
          </a:r>
        </a:p>
        <a:p>
          <a:endParaRPr lang="en-GB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1"/>
            <a:t>Negative covariance</a:t>
          </a:r>
          <a:r>
            <a:rPr lang="en-GB" sz="1100"/>
            <a:t>: The more time you put in A the less time you have for B</a:t>
          </a:r>
        </a:p>
        <a:p>
          <a:endParaRPr lang="en-GB" sz="1100"/>
        </a:p>
        <a:p>
          <a:r>
            <a:rPr lang="en-GB" sz="1100" b="1"/>
            <a:t>Zero</a:t>
          </a:r>
          <a:r>
            <a:rPr lang="en-GB" sz="1100" b="1" baseline="0"/>
            <a:t> covariance</a:t>
          </a:r>
          <a:r>
            <a:rPr lang="en-GB" sz="1100" baseline="0"/>
            <a:t>: A has not bearing on B</a:t>
          </a:r>
          <a:endParaRPr lang="en-GB" sz="1100"/>
        </a:p>
      </xdr:txBody>
    </xdr:sp>
    <xdr:clientData/>
  </xdr:twoCellAnchor>
  <xdr:twoCellAnchor editAs="oneCell">
    <xdr:from>
      <xdr:col>7</xdr:col>
      <xdr:colOff>394854</xdr:colOff>
      <xdr:row>15</xdr:row>
      <xdr:rowOff>6927</xdr:rowOff>
    </xdr:from>
    <xdr:to>
      <xdr:col>13</xdr:col>
      <xdr:colOff>282698</xdr:colOff>
      <xdr:row>21</xdr:row>
      <xdr:rowOff>31925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C04349E-072F-4A0B-97DD-7F40631A6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59927" y="2341418"/>
          <a:ext cx="3628571" cy="9047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123238</xdr:colOff>
      <xdr:row>21</xdr:row>
      <xdr:rowOff>133129</xdr:rowOff>
    </xdr:from>
    <xdr:to>
      <xdr:col>6</xdr:col>
      <xdr:colOff>824278</xdr:colOff>
      <xdr:row>36</xdr:row>
      <xdr:rowOff>76858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7D8977-9956-4A25-BADE-F617748862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B1:H17"/>
  <sheetViews>
    <sheetView tabSelected="1" zoomScale="110" zoomScaleNormal="110" workbookViewId="0">
      <selection activeCell="L28" sqref="L28"/>
    </sheetView>
  </sheetViews>
  <sheetFormatPr defaultColWidth="9.109375" defaultRowHeight="11.4" x14ac:dyDescent="0.2"/>
  <cols>
    <col min="1" max="1" width="2" style="1" customWidth="1"/>
    <col min="2" max="2" width="5.44140625" style="1" customWidth="1"/>
    <col min="3" max="3" width="7.5546875" style="1" customWidth="1"/>
    <col min="4" max="4" width="9.5546875" style="1" customWidth="1"/>
    <col min="5" max="5" width="9.109375" style="1"/>
    <col min="6" max="6" width="18.77734375" style="1" customWidth="1"/>
    <col min="7" max="7" width="14" style="1" customWidth="1"/>
    <col min="8" max="16384" width="9.109375" style="1"/>
  </cols>
  <sheetData>
    <row r="1" spans="2:8" ht="15.6" x14ac:dyDescent="0.3">
      <c r="B1" s="2" t="s">
        <v>1</v>
      </c>
      <c r="F1" s="13"/>
      <c r="G1" s="13"/>
      <c r="H1" s="13"/>
    </row>
    <row r="2" spans="2:8" ht="12" x14ac:dyDescent="0.25">
      <c r="B2" s="5" t="s">
        <v>0</v>
      </c>
      <c r="F2" s="13"/>
      <c r="G2" s="13"/>
      <c r="H2" s="13"/>
    </row>
    <row r="3" spans="2:8" x14ac:dyDescent="0.2">
      <c r="F3" s="13"/>
      <c r="G3" s="13"/>
      <c r="H3" s="13"/>
    </row>
    <row r="4" spans="2:8" x14ac:dyDescent="0.2">
      <c r="F4" s="13"/>
      <c r="G4" s="13"/>
      <c r="H4" s="13"/>
    </row>
    <row r="5" spans="2:8" ht="16.2" thickBot="1" x14ac:dyDescent="0.35">
      <c r="C5" s="3" t="s">
        <v>7</v>
      </c>
      <c r="D5" s="3" t="s">
        <v>8</v>
      </c>
      <c r="G5" s="18" t="s">
        <v>3</v>
      </c>
      <c r="H5" s="13"/>
    </row>
    <row r="6" spans="2:8" x14ac:dyDescent="0.2">
      <c r="C6" s="1">
        <v>650</v>
      </c>
      <c r="D6" s="4">
        <v>772000</v>
      </c>
      <c r="G6" s="11">
        <f>(C6-$C$11)*(D6-$D$11)</f>
        <v>34776000</v>
      </c>
      <c r="H6" s="13"/>
    </row>
    <row r="7" spans="2:8" x14ac:dyDescent="0.2">
      <c r="C7" s="1">
        <v>785</v>
      </c>
      <c r="D7" s="4">
        <v>998000</v>
      </c>
      <c r="G7" s="11">
        <f t="shared" ref="G7:G10" si="0">(C7-$C$11)*(D7-$D$11)</f>
        <v>-5265000</v>
      </c>
      <c r="H7" s="13"/>
    </row>
    <row r="8" spans="2:8" x14ac:dyDescent="0.2">
      <c r="C8" s="1">
        <v>1200</v>
      </c>
      <c r="D8" s="4">
        <v>1200000</v>
      </c>
      <c r="G8" s="11">
        <f t="shared" si="0"/>
        <v>89178000</v>
      </c>
      <c r="H8" s="13"/>
    </row>
    <row r="9" spans="2:8" x14ac:dyDescent="0.2">
      <c r="C9" s="1">
        <v>720</v>
      </c>
      <c r="D9" s="4">
        <v>800000</v>
      </c>
      <c r="G9" s="11">
        <f t="shared" si="0"/>
        <v>19418000</v>
      </c>
      <c r="H9" s="13"/>
    </row>
    <row r="10" spans="2:8" x14ac:dyDescent="0.2">
      <c r="C10" s="6">
        <v>975</v>
      </c>
      <c r="D10" s="7">
        <v>895000</v>
      </c>
      <c r="G10" s="11">
        <f t="shared" si="0"/>
        <v>-4142000</v>
      </c>
      <c r="H10" s="13"/>
    </row>
    <row r="11" spans="2:8" ht="12" x14ac:dyDescent="0.25">
      <c r="B11" s="10" t="s">
        <v>2</v>
      </c>
      <c r="C11" s="4">
        <f>AVERAGE(C6:C10)</f>
        <v>866</v>
      </c>
      <c r="D11" s="4">
        <f>AVERAGE(D6:D10)</f>
        <v>933000</v>
      </c>
      <c r="F11" s="5" t="s">
        <v>4</v>
      </c>
      <c r="G11" s="14">
        <f>SUM(G6:G10)</f>
        <v>133965000</v>
      </c>
      <c r="H11" s="13"/>
    </row>
    <row r="12" spans="2:8" ht="12" x14ac:dyDescent="0.25">
      <c r="B12" s="5"/>
      <c r="C12" s="4"/>
      <c r="D12" s="4"/>
      <c r="F12" s="5" t="s">
        <v>5</v>
      </c>
      <c r="G12" s="14">
        <f>COUNT(C6:C10)</f>
        <v>5</v>
      </c>
      <c r="H12" s="13"/>
    </row>
    <row r="13" spans="2:8" ht="12" x14ac:dyDescent="0.25">
      <c r="B13" s="5"/>
      <c r="C13" s="8"/>
      <c r="D13" s="8"/>
      <c r="F13" s="5" t="s">
        <v>6</v>
      </c>
      <c r="G13" s="11">
        <f>G11/(G12-1)</f>
        <v>33491250</v>
      </c>
      <c r="H13" s="13"/>
    </row>
    <row r="14" spans="2:8" ht="12" x14ac:dyDescent="0.25">
      <c r="B14" s="5"/>
      <c r="C14" s="4"/>
      <c r="D14" s="4"/>
      <c r="F14" s="15"/>
      <c r="G14" s="16"/>
      <c r="H14" s="13"/>
    </row>
    <row r="15" spans="2:8" x14ac:dyDescent="0.2">
      <c r="F15" s="13"/>
      <c r="G15" s="13"/>
      <c r="H15" s="13"/>
    </row>
    <row r="16" spans="2:8" ht="12" x14ac:dyDescent="0.25">
      <c r="F16" s="15"/>
      <c r="G16" s="16"/>
      <c r="H16" s="13"/>
    </row>
    <row r="17" spans="6:8" x14ac:dyDescent="0.2">
      <c r="F17" s="13"/>
      <c r="G17" s="13"/>
      <c r="H17" s="13"/>
    </row>
  </sheetData>
  <sortState xmlns:xlrd2="http://schemas.microsoft.com/office/spreadsheetml/2017/richdata2" ref="G6:G14">
    <sortCondition descending="1" ref="G6"/>
  </sortState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B1:G16"/>
  <sheetViews>
    <sheetView zoomScaleNormal="100" workbookViewId="0">
      <selection activeCell="G6" sqref="G6"/>
    </sheetView>
  </sheetViews>
  <sheetFormatPr defaultColWidth="9.109375" defaultRowHeight="11.4" x14ac:dyDescent="0.2"/>
  <cols>
    <col min="1" max="1" width="2" style="1" customWidth="1"/>
    <col min="2" max="2" width="5.44140625" style="1" customWidth="1"/>
    <col min="3" max="3" width="7.5546875" style="1" customWidth="1"/>
    <col min="4" max="4" width="9.5546875" style="1" customWidth="1"/>
    <col min="5" max="5" width="9.109375" style="1"/>
    <col min="6" max="6" width="18.77734375" style="1" customWidth="1"/>
    <col min="7" max="7" width="14" style="1" customWidth="1"/>
    <col min="8" max="16384" width="9.109375" style="1"/>
  </cols>
  <sheetData>
    <row r="1" spans="2:7" ht="15.6" x14ac:dyDescent="0.3">
      <c r="B1" s="2" t="s">
        <v>1</v>
      </c>
    </row>
    <row r="2" spans="2:7" ht="12" x14ac:dyDescent="0.25">
      <c r="B2" s="5" t="s">
        <v>0</v>
      </c>
    </row>
    <row r="5" spans="2:7" ht="12.6" thickBot="1" x14ac:dyDescent="0.3">
      <c r="C5" s="3" t="s">
        <v>7</v>
      </c>
      <c r="D5" s="3" t="s">
        <v>8</v>
      </c>
      <c r="G5" s="3" t="s">
        <v>3</v>
      </c>
    </row>
    <row r="6" spans="2:7" x14ac:dyDescent="0.2">
      <c r="C6" s="4">
        <v>650</v>
      </c>
      <c r="D6" s="4">
        <v>772000</v>
      </c>
      <c r="G6" s="11">
        <f>(C6-$C$11)*(D6-$D$11)</f>
        <v>34776000</v>
      </c>
    </row>
    <row r="7" spans="2:7" x14ac:dyDescent="0.2">
      <c r="C7" s="4">
        <v>785</v>
      </c>
      <c r="D7" s="4">
        <v>998000</v>
      </c>
      <c r="G7" s="11">
        <f>(C7-$C$11)*(D7-$D$11)</f>
        <v>-5265000</v>
      </c>
    </row>
    <row r="8" spans="2:7" x14ac:dyDescent="0.2">
      <c r="C8" s="4">
        <v>1200</v>
      </c>
      <c r="D8" s="4">
        <v>1200000</v>
      </c>
      <c r="G8" s="11">
        <f>(C8-$C$11)*(D8-$D$11)</f>
        <v>89178000</v>
      </c>
    </row>
    <row r="9" spans="2:7" x14ac:dyDescent="0.2">
      <c r="C9" s="4">
        <v>720</v>
      </c>
      <c r="D9" s="4">
        <v>800000</v>
      </c>
      <c r="G9" s="11">
        <f>(C9-$C$11)*(D9-$D$11)</f>
        <v>19418000</v>
      </c>
    </row>
    <row r="10" spans="2:7" x14ac:dyDescent="0.2">
      <c r="C10" s="7">
        <v>975</v>
      </c>
      <c r="D10" s="7">
        <v>895000</v>
      </c>
      <c r="G10" s="12">
        <f>(C10-$C$11)*(D10-$D$11)</f>
        <v>-4142000</v>
      </c>
    </row>
    <row r="11" spans="2:7" ht="12" x14ac:dyDescent="0.25">
      <c r="B11" s="10" t="s">
        <v>2</v>
      </c>
      <c r="C11" s="4">
        <f>AVERAGE(C6:C10)</f>
        <v>866</v>
      </c>
      <c r="D11" s="4">
        <f>AVERAGE(D6:D10)</f>
        <v>933000</v>
      </c>
      <c r="F11" s="5" t="s">
        <v>4</v>
      </c>
      <c r="G11" s="11">
        <f>SUM(G6:G10)</f>
        <v>133965000</v>
      </c>
    </row>
    <row r="12" spans="2:7" ht="12" x14ac:dyDescent="0.25">
      <c r="B12" s="5"/>
      <c r="C12" s="17"/>
      <c r="D12" s="4"/>
      <c r="F12" s="5" t="s">
        <v>5</v>
      </c>
      <c r="G12" s="11">
        <v>5</v>
      </c>
    </row>
    <row r="13" spans="2:7" ht="12" x14ac:dyDescent="0.25">
      <c r="B13" s="5"/>
      <c r="C13" s="8"/>
      <c r="D13" s="8"/>
      <c r="F13" s="5" t="s">
        <v>6</v>
      </c>
      <c r="G13" s="11">
        <f>G11/4</f>
        <v>33491250</v>
      </c>
    </row>
    <row r="14" spans="2:7" ht="12" x14ac:dyDescent="0.25">
      <c r="B14" s="5"/>
      <c r="C14" s="4"/>
      <c r="D14" s="4"/>
      <c r="F14" s="5"/>
      <c r="G14" s="9"/>
    </row>
    <row r="16" spans="2:7" ht="12" x14ac:dyDescent="0.25">
      <c r="F16" s="5"/>
      <c r="G16" s="9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B1:G16"/>
  <sheetViews>
    <sheetView zoomScale="130" zoomScaleNormal="130" workbookViewId="0"/>
  </sheetViews>
  <sheetFormatPr defaultColWidth="9.109375" defaultRowHeight="11.4" x14ac:dyDescent="0.2"/>
  <cols>
    <col min="1" max="1" width="2" style="1" customWidth="1"/>
    <col min="2" max="2" width="5.44140625" style="1" customWidth="1"/>
    <col min="3" max="3" width="7.5546875" style="1" customWidth="1"/>
    <col min="4" max="4" width="9.5546875" style="1" customWidth="1"/>
    <col min="5" max="5" width="9.109375" style="1"/>
    <col min="6" max="6" width="18.77734375" style="1" customWidth="1"/>
    <col min="7" max="7" width="14" style="1" customWidth="1"/>
    <col min="8" max="16384" width="9.109375" style="1"/>
  </cols>
  <sheetData>
    <row r="1" spans="2:7" ht="15.6" x14ac:dyDescent="0.3">
      <c r="B1" s="2" t="s">
        <v>1</v>
      </c>
    </row>
    <row r="2" spans="2:7" ht="12" x14ac:dyDescent="0.25">
      <c r="B2" s="5" t="s">
        <v>0</v>
      </c>
    </row>
    <row r="5" spans="2:7" ht="12.6" thickBot="1" x14ac:dyDescent="0.3">
      <c r="C5" s="3" t="s">
        <v>7</v>
      </c>
      <c r="D5" s="3" t="s">
        <v>8</v>
      </c>
      <c r="G5" s="3" t="s">
        <v>3</v>
      </c>
    </row>
    <row r="6" spans="2:7" x14ac:dyDescent="0.2">
      <c r="C6" s="1">
        <v>650</v>
      </c>
      <c r="D6" s="4">
        <v>772000</v>
      </c>
      <c r="G6" s="11">
        <f>(C6-$C$11)*(D6-$D$11)</f>
        <v>34776000</v>
      </c>
    </row>
    <row r="7" spans="2:7" x14ac:dyDescent="0.2">
      <c r="C7" s="1">
        <v>785</v>
      </c>
      <c r="D7" s="4">
        <v>998000</v>
      </c>
      <c r="G7" s="11">
        <f>(C7-$C$11)*(D7-$D$11)</f>
        <v>-5265000</v>
      </c>
    </row>
    <row r="8" spans="2:7" x14ac:dyDescent="0.2">
      <c r="C8" s="1">
        <v>1200</v>
      </c>
      <c r="D8" s="4">
        <v>1200000</v>
      </c>
      <c r="G8" s="11">
        <f>(C8-$C$11)*(D8-$D$11)</f>
        <v>89178000</v>
      </c>
    </row>
    <row r="9" spans="2:7" x14ac:dyDescent="0.2">
      <c r="C9" s="1">
        <v>720</v>
      </c>
      <c r="D9" s="4">
        <v>800000</v>
      </c>
      <c r="G9" s="11">
        <f>(C9-$C$11)*(D9-$D$11)</f>
        <v>19418000</v>
      </c>
    </row>
    <row r="10" spans="2:7" x14ac:dyDescent="0.2">
      <c r="C10" s="6">
        <v>975</v>
      </c>
      <c r="D10" s="7">
        <v>895000</v>
      </c>
      <c r="G10" s="12">
        <f>(C10-$C$11)*(D10-$D$11)</f>
        <v>-4142000</v>
      </c>
    </row>
    <row r="11" spans="2:7" ht="12" x14ac:dyDescent="0.25">
      <c r="B11" s="10" t="s">
        <v>2</v>
      </c>
      <c r="C11" s="13">
        <f>AVERAGE(C6:C10)</f>
        <v>866</v>
      </c>
      <c r="D11" s="4">
        <f>AVERAGE(D6:D10)</f>
        <v>933000</v>
      </c>
      <c r="F11" s="5" t="s">
        <v>4</v>
      </c>
      <c r="G11" s="11">
        <f>SUM(G6:G10)</f>
        <v>133965000</v>
      </c>
    </row>
    <row r="12" spans="2:7" ht="12" x14ac:dyDescent="0.25">
      <c r="B12" s="5"/>
      <c r="C12" s="17"/>
      <c r="D12" s="4"/>
      <c r="F12" s="5" t="s">
        <v>5</v>
      </c>
      <c r="G12" s="11">
        <v>5</v>
      </c>
    </row>
    <row r="13" spans="2:7" ht="12" x14ac:dyDescent="0.25">
      <c r="B13" s="5"/>
      <c r="C13" s="8"/>
      <c r="D13" s="8"/>
      <c r="F13" s="5" t="s">
        <v>6</v>
      </c>
      <c r="G13" s="11">
        <f>G11/4</f>
        <v>33491250</v>
      </c>
    </row>
    <row r="14" spans="2:7" ht="12" x14ac:dyDescent="0.25">
      <c r="B14" s="5"/>
      <c r="C14" s="4"/>
      <c r="D14" s="4"/>
      <c r="F14" s="5"/>
      <c r="G14" s="9"/>
    </row>
    <row r="16" spans="2:7" ht="12" x14ac:dyDescent="0.25">
      <c r="F16" s="5"/>
      <c r="G16" s="9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Covariance</vt:lpstr>
      <vt:lpstr>cov</vt:lpstr>
      <vt:lpstr>Covariance2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Segun Longe</cp:lastModifiedBy>
  <dcterms:created xsi:type="dcterms:W3CDTF">2017-03-21T13:09:44Z</dcterms:created>
  <dcterms:modified xsi:type="dcterms:W3CDTF">2026-05-04T19:56:22Z</dcterms:modified>
</cp:coreProperties>
</file>