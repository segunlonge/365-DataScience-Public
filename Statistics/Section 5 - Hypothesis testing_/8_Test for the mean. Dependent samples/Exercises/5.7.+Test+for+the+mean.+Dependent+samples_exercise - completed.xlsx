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23A98096-BA30-41C9-8479-6E1DA74BCA26}" xr6:coauthVersionLast="47" xr6:coauthVersionMax="47" xr10:uidLastSave="{00000000-0000-0000-0000-000000000000}"/>
  <bookViews>
    <workbookView xWindow="348" yWindow="2304" windowWidth="24108" windowHeight="11376" activeTab="2" xr2:uid="{00000000-000D-0000-FFFF-FFFF00000000}"/>
  </bookViews>
  <sheets>
    <sheet name="t-table" sheetId="3" r:id="rId1"/>
    <sheet name="Weight-loss data, lbs" sheetId="1" r:id="rId2"/>
    <sheet name="Weight-loss data, kg" sheetId="2" r:id="rId3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" i="2" l="1"/>
  <c r="D14" i="2"/>
  <c r="D15" i="2"/>
  <c r="D16" i="2"/>
  <c r="D17" i="2"/>
  <c r="D18" i="2"/>
  <c r="D19" i="2"/>
  <c r="D20" i="2"/>
  <c r="D21" i="2"/>
  <c r="D12" i="2"/>
  <c r="G12" i="2" l="1"/>
  <c r="G13" i="2" s="1"/>
  <c r="G11" i="2"/>
  <c r="G15" i="2" l="1"/>
</calcChain>
</file>

<file path=xl/sharedStrings.xml><?xml version="1.0" encoding="utf-8"?>
<sst xmlns="http://schemas.openxmlformats.org/spreadsheetml/2006/main" count="64" uniqueCount="49">
  <si>
    <t>Test the mean. Dependent Samples</t>
  </si>
  <si>
    <t>Background</t>
  </si>
  <si>
    <t>Task 1</t>
  </si>
  <si>
    <t>Calculate the difference between before and after</t>
  </si>
  <si>
    <t>Task 2</t>
  </si>
  <si>
    <t>Calculate the appropriate statistic</t>
  </si>
  <si>
    <t>Task 3</t>
  </si>
  <si>
    <t>Task 4</t>
  </si>
  <si>
    <t>Weight-loss program, lbs</t>
  </si>
  <si>
    <t>Some guy on the internet designed a weight-loss program. You are wondering if it is working. You are given a sample of some people who did the program. You can find the data in kg if you prefer working with kg as a unit of measurement.</t>
  </si>
  <si>
    <t>Decide if this is a one-sided or a two-sided test. Calculate the p-value of this statistic</t>
  </si>
  <si>
    <t>Based on the p-value, decide at 1%,5% and 10% significance, if the program is working. Comment using the appropriate statistical jargon.</t>
  </si>
  <si>
    <t>Task 5</t>
  </si>
  <si>
    <t>State the null hypothesis.</t>
  </si>
  <si>
    <t>Weight-loss program, kg</t>
  </si>
  <si>
    <t>Before (lbs)</t>
  </si>
  <si>
    <t>After (lbs)</t>
  </si>
  <si>
    <t>Before (kg)</t>
  </si>
  <si>
    <t>After (kg)</t>
  </si>
  <si>
    <t>Difference</t>
  </si>
  <si>
    <t>Sample mean</t>
  </si>
  <si>
    <t>Standard deviation</t>
  </si>
  <si>
    <t>Standard error</t>
  </si>
  <si>
    <t>T-score</t>
  </si>
  <si>
    <t>p-value</t>
  </si>
  <si>
    <t>Student's T distribution</t>
  </si>
  <si>
    <r>
      <rPr>
        <b/>
        <i/>
        <sz val="9"/>
        <color rgb="FF002060"/>
        <rFont val="Arial"/>
        <family val="2"/>
      </rPr>
      <t>t</t>
    </r>
    <r>
      <rPr>
        <b/>
        <sz val="9"/>
        <color rgb="FF002060"/>
        <rFont val="Arial"/>
        <family val="2"/>
      </rPr>
      <t>-table</t>
    </r>
  </si>
  <si>
    <t>The table summarizes the t-distribution critical values. The rows represent the degrees of freedom, while the columns - common alphas.</t>
  </si>
  <si>
    <r>
      <t xml:space="preserve">d.f. / </t>
    </r>
    <r>
      <rPr>
        <b/>
        <sz val="9"/>
        <color rgb="FF002060"/>
        <rFont val="Calibri"/>
        <family val="2"/>
      </rPr>
      <t>α</t>
    </r>
  </si>
  <si>
    <t>inf.</t>
  </si>
  <si>
    <t>CI*</t>
  </si>
  <si>
    <t>*CI stands for confidence intervals</t>
  </si>
  <si>
    <t>Alternative Hypothesis</t>
  </si>
  <si>
    <t>The population mean before is lower than the one after</t>
  </si>
  <si>
    <t>significance</t>
  </si>
  <si>
    <t>decision</t>
  </si>
  <si>
    <t>comment</t>
  </si>
  <si>
    <t>Decision rule:</t>
  </si>
  <si>
    <t>Accept if p-value &gt; alpha</t>
  </si>
  <si>
    <t>Reject if p-value &lt; alpha</t>
  </si>
  <si>
    <t>accept null hypothesis</t>
  </si>
  <si>
    <t>reject null hypothesis</t>
  </si>
  <si>
    <t>The population mean before is greater than or equal to the population mean after</t>
  </si>
  <si>
    <t>NULL Hypothesis (status quo) (aim to reject the NULL hypothesis)</t>
  </si>
  <si>
    <t>1% sigificance level means there is a 99% chance the the program does not result in weight loss</t>
  </si>
  <si>
    <t>5% sigificance level means there is a 95% chance the the program does result in weight loss</t>
  </si>
  <si>
    <t>10% sigificance level means there is a 90% chance the the program does in weight loss</t>
  </si>
  <si>
    <t>i.e. the weight loss program is not working (the difference between the two populations is 0 or greater)</t>
  </si>
  <si>
    <t>i.e. the difference between the two populations is less than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</si>
</sst>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2"/>
      <color rgb="FF002060"/>
      <name val="Arial"/>
      <family val="2"/>
    </font>
    <font>
      <b/>
      <sz val="9"/>
      <color rgb="FF002060"/>
      <name val="Arial"/>
      <family val="2"/>
    </font>
    <font>
      <b/>
      <i/>
      <sz val="9"/>
      <color rgb="FF002060"/>
      <name val="Arial"/>
      <family val="2"/>
    </font>
    <font>
      <b/>
      <sz val="9"/>
      <color rgb="FF002060"/>
      <name val="Calibri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/>
      <bottom style="thin">
        <color rgb="FF002060"/>
      </bottom>
      <diagonal/>
    </border>
    <border>
      <left/>
      <right style="thin">
        <color rgb="FF002060"/>
      </right>
      <top/>
      <bottom style="medium">
        <color rgb="FF002060"/>
      </bottom>
      <diagonal/>
    </border>
    <border>
      <left/>
      <right style="thin">
        <color rgb="FF002060"/>
      </right>
      <top/>
      <bottom/>
      <diagonal/>
    </border>
    <border>
      <left/>
      <right style="thin">
        <color rgb="FF002060"/>
      </right>
      <top style="medium">
        <color rgb="FF002060"/>
      </top>
      <bottom style="medium">
        <color rgb="FF002060"/>
      </bottom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3" fillId="2" borderId="1" xfId="0" applyFont="1" applyFill="1" applyBorder="1" applyAlignment="1">
      <alignment horizontal="right"/>
    </xf>
    <xf numFmtId="2" fontId="1" fillId="2" borderId="0" xfId="0" applyNumberFormat="1" applyFont="1" applyFill="1"/>
    <xf numFmtId="2" fontId="1" fillId="2" borderId="2" xfId="0" applyNumberFormat="1" applyFont="1" applyFill="1" applyBorder="1"/>
    <xf numFmtId="2" fontId="1" fillId="2" borderId="0" xfId="0" applyNumberFormat="1" applyFont="1" applyFill="1" applyBorder="1"/>
    <xf numFmtId="0" fontId="1" fillId="2" borderId="0" xfId="0" applyFont="1" applyFill="1" applyBorder="1"/>
    <xf numFmtId="0" fontId="3" fillId="2" borderId="0" xfId="0" applyFont="1" applyFill="1" applyBorder="1"/>
    <xf numFmtId="164" fontId="1" fillId="2" borderId="0" xfId="0" applyNumberFormat="1" applyFont="1" applyFill="1" applyBorder="1"/>
    <xf numFmtId="0" fontId="3" fillId="2" borderId="0" xfId="0" applyFont="1" applyFill="1" applyBorder="1" applyAlignment="1">
      <alignment horizontal="right"/>
    </xf>
    <xf numFmtId="0" fontId="3" fillId="2" borderId="3" xfId="0" applyFont="1" applyFill="1" applyBorder="1"/>
    <xf numFmtId="0" fontId="3" fillId="2" borderId="1" xfId="0" applyFont="1" applyFill="1" applyBorder="1"/>
    <xf numFmtId="0" fontId="1" fillId="2" borderId="4" xfId="0" applyFont="1" applyFill="1" applyBorder="1"/>
    <xf numFmtId="164" fontId="1" fillId="2" borderId="0" xfId="0" applyNumberFormat="1" applyFont="1" applyFill="1"/>
    <xf numFmtId="0" fontId="1" fillId="2" borderId="3" xfId="0" applyFont="1" applyFill="1" applyBorder="1" applyAlignment="1">
      <alignment horizontal="right"/>
    </xf>
    <xf numFmtId="164" fontId="1" fillId="2" borderId="1" xfId="0" applyNumberFormat="1" applyFont="1" applyFill="1" applyBorder="1"/>
    <xf numFmtId="0" fontId="6" fillId="2" borderId="5" xfId="0" applyFont="1" applyFill="1" applyBorder="1"/>
    <xf numFmtId="9" fontId="1" fillId="2" borderId="6" xfId="0" applyNumberFormat="1" applyFont="1" applyFill="1" applyBorder="1"/>
    <xf numFmtId="0" fontId="1" fillId="2" borderId="0" xfId="0" applyFont="1" applyFill="1" applyAlignment="1">
      <alignment horizontal="center"/>
    </xf>
    <xf numFmtId="2" fontId="1" fillId="2" borderId="0" xfId="0" applyNumberFormat="1" applyFont="1" applyFill="1" applyAlignment="1">
      <alignment horizontal="center"/>
    </xf>
    <xf numFmtId="0" fontId="1" fillId="2" borderId="7" xfId="0" applyFont="1" applyFill="1" applyBorder="1"/>
    <xf numFmtId="0" fontId="1" fillId="2" borderId="8" xfId="0" applyFont="1" applyFill="1" applyBorder="1"/>
    <xf numFmtId="0" fontId="1" fillId="2" borderId="9" xfId="0" applyFont="1" applyFill="1" applyBorder="1"/>
    <xf numFmtId="0" fontId="1" fillId="2" borderId="10" xfId="0" applyFont="1" applyFill="1" applyBorder="1"/>
    <xf numFmtId="0" fontId="1" fillId="2" borderId="11" xfId="0" applyFont="1" applyFill="1" applyBorder="1"/>
    <xf numFmtId="0" fontId="1" fillId="2" borderId="12" xfId="0" applyFont="1" applyFill="1" applyBorder="1"/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</xdr:colOff>
      <xdr:row>32</xdr:row>
      <xdr:rowOff>22860</xdr:rowOff>
    </xdr:from>
    <xdr:to>
      <xdr:col>8</xdr:col>
      <xdr:colOff>1077327</xdr:colOff>
      <xdr:row>74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FC8752-0FA2-4433-827E-3B1629498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" y="4846320"/>
          <a:ext cx="7272387" cy="6134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5331E-E6AA-4C87-A1D1-99DCCDC5CB23}">
  <dimension ref="B1:G45"/>
  <sheetViews>
    <sheetView zoomScaleNormal="100" workbookViewId="0">
      <selection activeCell="E15" sqref="E15"/>
    </sheetView>
  </sheetViews>
  <sheetFormatPr defaultRowHeight="11.4" x14ac:dyDescent="0.2"/>
  <cols>
    <col min="1" max="1" width="2" style="1" customWidth="1"/>
    <col min="2" max="2" width="6" style="1" customWidth="1"/>
    <col min="3" max="4" width="5.21875" style="1" bestFit="1" customWidth="1"/>
    <col min="5" max="7" width="6.109375" style="1" bestFit="1" customWidth="1"/>
    <col min="8" max="16384" width="8.88671875" style="1"/>
  </cols>
  <sheetData>
    <row r="1" spans="2:7" ht="15.6" x14ac:dyDescent="0.3">
      <c r="B1" s="2" t="s">
        <v>25</v>
      </c>
    </row>
    <row r="2" spans="2:7" ht="12" x14ac:dyDescent="0.25">
      <c r="B2" s="3" t="s">
        <v>26</v>
      </c>
    </row>
    <row r="3" spans="2:7" ht="12" x14ac:dyDescent="0.25">
      <c r="B3" s="3"/>
    </row>
    <row r="4" spans="2:7" ht="12" x14ac:dyDescent="0.25">
      <c r="B4" s="3" t="s">
        <v>27</v>
      </c>
    </row>
    <row r="5" spans="2:7" ht="12" x14ac:dyDescent="0.25">
      <c r="B5" s="3"/>
    </row>
    <row r="6" spans="2:7" ht="12.6" thickBot="1" x14ac:dyDescent="0.3">
      <c r="B6" s="12" t="s">
        <v>28</v>
      </c>
      <c r="C6" s="13">
        <v>0.1</v>
      </c>
      <c r="D6" s="13">
        <v>0.05</v>
      </c>
      <c r="E6" s="13">
        <v>2.5000000000000001E-2</v>
      </c>
      <c r="F6" s="13">
        <v>0.01</v>
      </c>
      <c r="G6" s="13">
        <v>5.0000000000000001E-3</v>
      </c>
    </row>
    <row r="7" spans="2:7" x14ac:dyDescent="0.2">
      <c r="B7" s="14">
        <v>1</v>
      </c>
      <c r="C7" s="15">
        <v>3.0779999999999998</v>
      </c>
      <c r="D7" s="15">
        <v>6.3140000000000001</v>
      </c>
      <c r="E7" s="15">
        <v>12.706</v>
      </c>
      <c r="F7" s="15">
        <v>31.821000000000002</v>
      </c>
      <c r="G7" s="15">
        <v>63.656999999999996</v>
      </c>
    </row>
    <row r="8" spans="2:7" x14ac:dyDescent="0.2">
      <c r="B8" s="14">
        <v>2</v>
      </c>
      <c r="C8" s="15">
        <v>1.8859999999999999</v>
      </c>
      <c r="D8" s="15">
        <v>2.92</v>
      </c>
      <c r="E8" s="15">
        <v>4.3029999999999999</v>
      </c>
      <c r="F8" s="15">
        <v>6.9649999999999999</v>
      </c>
      <c r="G8" s="15">
        <v>9.9250000000000007</v>
      </c>
    </row>
    <row r="9" spans="2:7" x14ac:dyDescent="0.2">
      <c r="B9" s="14">
        <v>3</v>
      </c>
      <c r="C9" s="15">
        <v>1.6379999999999999</v>
      </c>
      <c r="D9" s="15">
        <v>2.3530000000000002</v>
      </c>
      <c r="E9" s="15">
        <v>3.1819999999999999</v>
      </c>
      <c r="F9" s="15">
        <v>4.5410000000000004</v>
      </c>
      <c r="G9" s="15">
        <v>5.8410000000000002</v>
      </c>
    </row>
    <row r="10" spans="2:7" x14ac:dyDescent="0.2">
      <c r="B10" s="14">
        <v>4</v>
      </c>
      <c r="C10" s="15">
        <v>1.5329999999999999</v>
      </c>
      <c r="D10" s="15">
        <v>2.1320000000000001</v>
      </c>
      <c r="E10" s="15">
        <v>2.7759999999999998</v>
      </c>
      <c r="F10" s="15">
        <v>3.7469999999999999</v>
      </c>
      <c r="G10" s="15">
        <v>4.6040000000000001</v>
      </c>
    </row>
    <row r="11" spans="2:7" x14ac:dyDescent="0.2">
      <c r="B11" s="14">
        <v>5</v>
      </c>
      <c r="C11" s="15">
        <v>1.476</v>
      </c>
      <c r="D11" s="15">
        <v>2.0150000000000001</v>
      </c>
      <c r="E11" s="15">
        <v>2.5710000000000002</v>
      </c>
      <c r="F11" s="15">
        <v>3.3650000000000002</v>
      </c>
      <c r="G11" s="15">
        <v>4.032</v>
      </c>
    </row>
    <row r="12" spans="2:7" x14ac:dyDescent="0.2">
      <c r="B12" s="14">
        <v>6</v>
      </c>
      <c r="C12" s="15">
        <v>1.44</v>
      </c>
      <c r="D12" s="15">
        <v>1.9430000000000001</v>
      </c>
      <c r="E12" s="15">
        <v>2.4470000000000001</v>
      </c>
      <c r="F12" s="15">
        <v>3.1429999999999998</v>
      </c>
      <c r="G12" s="15">
        <v>3.7069999999999999</v>
      </c>
    </row>
    <row r="13" spans="2:7" x14ac:dyDescent="0.2">
      <c r="B13" s="14">
        <v>7</v>
      </c>
      <c r="C13" s="15">
        <v>1.415</v>
      </c>
      <c r="D13" s="15">
        <v>1.895</v>
      </c>
      <c r="E13" s="15">
        <v>2.3650000000000002</v>
      </c>
      <c r="F13" s="15">
        <v>2.9980000000000002</v>
      </c>
      <c r="G13" s="15">
        <v>3.4990000000000001</v>
      </c>
    </row>
    <row r="14" spans="2:7" x14ac:dyDescent="0.2">
      <c r="B14" s="14">
        <v>8</v>
      </c>
      <c r="C14" s="15">
        <v>1.397</v>
      </c>
      <c r="D14" s="15">
        <v>1.86</v>
      </c>
      <c r="E14" s="15">
        <v>2.306</v>
      </c>
      <c r="F14" s="15">
        <v>2.8959999999999999</v>
      </c>
      <c r="G14" s="15">
        <v>3.355</v>
      </c>
    </row>
    <row r="15" spans="2:7" x14ac:dyDescent="0.2">
      <c r="B15" s="14">
        <v>9</v>
      </c>
      <c r="C15" s="15">
        <v>1.383</v>
      </c>
      <c r="D15" s="15">
        <v>1.833</v>
      </c>
      <c r="E15" s="15">
        <v>2.262</v>
      </c>
      <c r="F15" s="15">
        <v>2.8210000000000002</v>
      </c>
      <c r="G15" s="15">
        <v>3.25</v>
      </c>
    </row>
    <row r="16" spans="2:7" x14ac:dyDescent="0.2">
      <c r="B16" s="14">
        <v>10</v>
      </c>
      <c r="C16" s="15">
        <v>1.3720000000000001</v>
      </c>
      <c r="D16" s="15">
        <v>1.8120000000000001</v>
      </c>
      <c r="E16" s="15">
        <v>2.2280000000000002</v>
      </c>
      <c r="F16" s="15">
        <v>2.7639999999999998</v>
      </c>
      <c r="G16" s="15">
        <v>3.169</v>
      </c>
    </row>
    <row r="17" spans="2:7" x14ac:dyDescent="0.2">
      <c r="B17" s="14">
        <v>11</v>
      </c>
      <c r="C17" s="15">
        <v>1.363</v>
      </c>
      <c r="D17" s="15">
        <v>1.796</v>
      </c>
      <c r="E17" s="15">
        <v>2.2010000000000001</v>
      </c>
      <c r="F17" s="15">
        <v>2.718</v>
      </c>
      <c r="G17" s="15">
        <v>3.1059999999999999</v>
      </c>
    </row>
    <row r="18" spans="2:7" x14ac:dyDescent="0.2">
      <c r="B18" s="14">
        <v>12</v>
      </c>
      <c r="C18" s="15">
        <v>1.3560000000000001</v>
      </c>
      <c r="D18" s="15">
        <v>1.782</v>
      </c>
      <c r="E18" s="15">
        <v>2.1789999999999998</v>
      </c>
      <c r="F18" s="15">
        <v>2.681</v>
      </c>
      <c r="G18" s="15">
        <v>3.0550000000000002</v>
      </c>
    </row>
    <row r="19" spans="2:7" x14ac:dyDescent="0.2">
      <c r="B19" s="14">
        <v>13</v>
      </c>
      <c r="C19" s="15">
        <v>1.35</v>
      </c>
      <c r="D19" s="15">
        <v>1.7709999999999999</v>
      </c>
      <c r="E19" s="15">
        <v>2.16</v>
      </c>
      <c r="F19" s="15">
        <v>2.65</v>
      </c>
      <c r="G19" s="15">
        <v>3.012</v>
      </c>
    </row>
    <row r="20" spans="2:7" x14ac:dyDescent="0.2">
      <c r="B20" s="14">
        <v>14</v>
      </c>
      <c r="C20" s="15">
        <v>1.345</v>
      </c>
      <c r="D20" s="15">
        <v>1.7609999999999999</v>
      </c>
      <c r="E20" s="15">
        <v>2.145</v>
      </c>
      <c r="F20" s="15">
        <v>2.6240000000000001</v>
      </c>
      <c r="G20" s="15">
        <v>2.9769999999999999</v>
      </c>
    </row>
    <row r="21" spans="2:7" x14ac:dyDescent="0.2">
      <c r="B21" s="14">
        <v>15</v>
      </c>
      <c r="C21" s="15">
        <v>1.341</v>
      </c>
      <c r="D21" s="15">
        <v>1.7529999999999999</v>
      </c>
      <c r="E21" s="15">
        <v>2.1309999999999998</v>
      </c>
      <c r="F21" s="15">
        <v>2.6019999999999999</v>
      </c>
      <c r="G21" s="15">
        <v>2.9470000000000001</v>
      </c>
    </row>
    <row r="22" spans="2:7" x14ac:dyDescent="0.2">
      <c r="B22" s="14">
        <v>16</v>
      </c>
      <c r="C22" s="15">
        <v>1.337</v>
      </c>
      <c r="D22" s="15">
        <v>1.746</v>
      </c>
      <c r="E22" s="15">
        <v>2.12</v>
      </c>
      <c r="F22" s="15">
        <v>2.5830000000000002</v>
      </c>
      <c r="G22" s="15">
        <v>2.9209999999999998</v>
      </c>
    </row>
    <row r="23" spans="2:7" x14ac:dyDescent="0.2">
      <c r="B23" s="14">
        <v>17</v>
      </c>
      <c r="C23" s="15">
        <v>1.333</v>
      </c>
      <c r="D23" s="15">
        <v>1.74</v>
      </c>
      <c r="E23" s="15">
        <v>2.11</v>
      </c>
      <c r="F23" s="15">
        <v>2.5670000000000002</v>
      </c>
      <c r="G23" s="15">
        <v>2.8980000000000001</v>
      </c>
    </row>
    <row r="24" spans="2:7" x14ac:dyDescent="0.2">
      <c r="B24" s="14">
        <v>18</v>
      </c>
      <c r="C24" s="15">
        <v>1.33</v>
      </c>
      <c r="D24" s="15">
        <v>1.734</v>
      </c>
      <c r="E24" s="15">
        <v>2.101</v>
      </c>
      <c r="F24" s="15">
        <v>2.552</v>
      </c>
      <c r="G24" s="15">
        <v>2.8780000000000001</v>
      </c>
    </row>
    <row r="25" spans="2:7" x14ac:dyDescent="0.2">
      <c r="B25" s="14">
        <v>19</v>
      </c>
      <c r="C25" s="15">
        <v>1.3280000000000001</v>
      </c>
      <c r="D25" s="15">
        <v>1.7290000000000001</v>
      </c>
      <c r="E25" s="15">
        <v>2.093</v>
      </c>
      <c r="F25" s="15">
        <v>2.5390000000000001</v>
      </c>
      <c r="G25" s="15">
        <v>2.8610000000000002</v>
      </c>
    </row>
    <row r="26" spans="2:7" x14ac:dyDescent="0.2">
      <c r="B26" s="14">
        <v>20</v>
      </c>
      <c r="C26" s="15">
        <v>1.325</v>
      </c>
      <c r="D26" s="15">
        <v>1.7250000000000001</v>
      </c>
      <c r="E26" s="15">
        <v>2.0859999999999999</v>
      </c>
      <c r="F26" s="15">
        <v>2.528</v>
      </c>
      <c r="G26" s="15">
        <v>2.8450000000000002</v>
      </c>
    </row>
    <row r="27" spans="2:7" x14ac:dyDescent="0.2">
      <c r="B27" s="14">
        <v>21</v>
      </c>
      <c r="C27" s="15">
        <v>1.323</v>
      </c>
      <c r="D27" s="15">
        <v>1.7210000000000001</v>
      </c>
      <c r="E27" s="15">
        <v>2.08</v>
      </c>
      <c r="F27" s="15">
        <v>2.5179999999999998</v>
      </c>
      <c r="G27" s="15">
        <v>2.831</v>
      </c>
    </row>
    <row r="28" spans="2:7" x14ac:dyDescent="0.2">
      <c r="B28" s="14">
        <v>22</v>
      </c>
      <c r="C28" s="15">
        <v>1.321</v>
      </c>
      <c r="D28" s="15">
        <v>1.7170000000000001</v>
      </c>
      <c r="E28" s="15">
        <v>2.0739999999999998</v>
      </c>
      <c r="F28" s="15">
        <v>2.508</v>
      </c>
      <c r="G28" s="15">
        <v>2.819</v>
      </c>
    </row>
    <row r="29" spans="2:7" x14ac:dyDescent="0.2">
      <c r="B29" s="14">
        <v>23</v>
      </c>
      <c r="C29" s="15">
        <v>1.319</v>
      </c>
      <c r="D29" s="15">
        <v>1.714</v>
      </c>
      <c r="E29" s="15">
        <v>2.069</v>
      </c>
      <c r="F29" s="15">
        <v>2.5</v>
      </c>
      <c r="G29" s="15">
        <v>2.8069999999999999</v>
      </c>
    </row>
    <row r="30" spans="2:7" x14ac:dyDescent="0.2">
      <c r="B30" s="14">
        <v>24</v>
      </c>
      <c r="C30" s="15">
        <v>1.3180000000000001</v>
      </c>
      <c r="D30" s="15">
        <v>1.7110000000000001</v>
      </c>
      <c r="E30" s="15">
        <v>2.0640000000000001</v>
      </c>
      <c r="F30" s="15">
        <v>2.492</v>
      </c>
      <c r="G30" s="15">
        <v>2.7970000000000002</v>
      </c>
    </row>
    <row r="31" spans="2:7" x14ac:dyDescent="0.2">
      <c r="B31" s="14">
        <v>25</v>
      </c>
      <c r="C31" s="15">
        <v>1.3160000000000001</v>
      </c>
      <c r="D31" s="15">
        <v>1.708</v>
      </c>
      <c r="E31" s="15">
        <v>2.06</v>
      </c>
      <c r="F31" s="15">
        <v>2.4849999999999999</v>
      </c>
      <c r="G31" s="15">
        <v>2.7869999999999999</v>
      </c>
    </row>
    <row r="32" spans="2:7" x14ac:dyDescent="0.2">
      <c r="B32" s="14">
        <v>26</v>
      </c>
      <c r="C32" s="15">
        <v>1.3149999999999999</v>
      </c>
      <c r="D32" s="15">
        <v>1.706</v>
      </c>
      <c r="E32" s="15">
        <v>2.056</v>
      </c>
      <c r="F32" s="15">
        <v>2.4790000000000001</v>
      </c>
      <c r="G32" s="15">
        <v>2.7789999999999999</v>
      </c>
    </row>
    <row r="33" spans="2:7" x14ac:dyDescent="0.2">
      <c r="B33" s="14">
        <v>27</v>
      </c>
      <c r="C33" s="15">
        <v>1.3140000000000001</v>
      </c>
      <c r="D33" s="15">
        <v>1.7030000000000001</v>
      </c>
      <c r="E33" s="15">
        <v>2.052</v>
      </c>
      <c r="F33" s="15">
        <v>2.4729999999999999</v>
      </c>
      <c r="G33" s="15">
        <v>2.7709999999999999</v>
      </c>
    </row>
    <row r="34" spans="2:7" x14ac:dyDescent="0.2">
      <c r="B34" s="14">
        <v>28</v>
      </c>
      <c r="C34" s="15">
        <v>1.3129999999999999</v>
      </c>
      <c r="D34" s="15">
        <v>1.7010000000000001</v>
      </c>
      <c r="E34" s="15">
        <v>2.048</v>
      </c>
      <c r="F34" s="15">
        <v>2.4670000000000001</v>
      </c>
      <c r="G34" s="15">
        <v>2.7629999999999999</v>
      </c>
    </row>
    <row r="35" spans="2:7" x14ac:dyDescent="0.2">
      <c r="B35" s="14">
        <v>29</v>
      </c>
      <c r="C35" s="15">
        <v>1.3109999999999999</v>
      </c>
      <c r="D35" s="15">
        <v>1.6990000000000001</v>
      </c>
      <c r="E35" s="15">
        <v>2.0449999999999999</v>
      </c>
      <c r="F35" s="15">
        <v>2.4620000000000002</v>
      </c>
      <c r="G35" s="15">
        <v>2.7559999999999998</v>
      </c>
    </row>
    <row r="36" spans="2:7" x14ac:dyDescent="0.2">
      <c r="B36" s="14">
        <v>30</v>
      </c>
      <c r="C36" s="15">
        <v>1.31</v>
      </c>
      <c r="D36" s="15">
        <v>1.6970000000000001</v>
      </c>
      <c r="E36" s="15">
        <v>2.0419999999999998</v>
      </c>
      <c r="F36" s="15">
        <v>2.4569999999999999</v>
      </c>
      <c r="G36" s="15">
        <v>2.75</v>
      </c>
    </row>
    <row r="37" spans="2:7" x14ac:dyDescent="0.2">
      <c r="B37" s="14">
        <v>35</v>
      </c>
      <c r="C37" s="15">
        <v>1.306</v>
      </c>
      <c r="D37" s="15">
        <v>1.69</v>
      </c>
      <c r="E37" s="15">
        <v>2.0299999999999998</v>
      </c>
      <c r="F37" s="15">
        <v>2.4380000000000002</v>
      </c>
      <c r="G37" s="15">
        <v>2.7240000000000002</v>
      </c>
    </row>
    <row r="38" spans="2:7" x14ac:dyDescent="0.2">
      <c r="B38" s="14">
        <v>40</v>
      </c>
      <c r="C38" s="15">
        <v>1.3029999999999999</v>
      </c>
      <c r="D38" s="15">
        <v>1.6839999999999999</v>
      </c>
      <c r="E38" s="15">
        <v>2.0209999999999999</v>
      </c>
      <c r="F38" s="15">
        <v>2.423</v>
      </c>
      <c r="G38" s="15">
        <v>2.7040000000000002</v>
      </c>
    </row>
    <row r="39" spans="2:7" x14ac:dyDescent="0.2">
      <c r="B39" s="14">
        <v>50</v>
      </c>
      <c r="C39" s="15">
        <v>1.2989999999999999</v>
      </c>
      <c r="D39" s="15">
        <v>1.6759999999999999</v>
      </c>
      <c r="E39" s="15">
        <v>2.0089999999999999</v>
      </c>
      <c r="F39" s="15">
        <v>2.403</v>
      </c>
      <c r="G39" s="15">
        <v>2.6779999999999999</v>
      </c>
    </row>
    <row r="40" spans="2:7" x14ac:dyDescent="0.2">
      <c r="B40" s="14">
        <v>60</v>
      </c>
      <c r="C40" s="15">
        <v>1.296</v>
      </c>
      <c r="D40" s="15">
        <v>1.671</v>
      </c>
      <c r="E40" s="15">
        <v>2</v>
      </c>
      <c r="F40" s="15">
        <v>2.39</v>
      </c>
      <c r="G40" s="15">
        <v>2.66</v>
      </c>
    </row>
    <row r="41" spans="2:7" x14ac:dyDescent="0.2">
      <c r="B41" s="14">
        <v>120</v>
      </c>
      <c r="C41" s="15">
        <v>1.2889999999999999</v>
      </c>
      <c r="D41" s="15">
        <v>1.6579999999999999</v>
      </c>
      <c r="E41" s="15">
        <v>1.98</v>
      </c>
      <c r="F41" s="15">
        <v>2.3580000000000001</v>
      </c>
      <c r="G41" s="15">
        <v>2.617</v>
      </c>
    </row>
    <row r="42" spans="2:7" ht="12" thickBot="1" x14ac:dyDescent="0.25">
      <c r="B42" s="16" t="s">
        <v>29</v>
      </c>
      <c r="C42" s="17">
        <v>1.282</v>
      </c>
      <c r="D42" s="17">
        <v>1.645</v>
      </c>
      <c r="E42" s="17">
        <v>1.96</v>
      </c>
      <c r="F42" s="17">
        <v>2.3260000000000001</v>
      </c>
      <c r="G42" s="17">
        <v>2.5760000000000001</v>
      </c>
    </row>
    <row r="43" spans="2:7" ht="12.6" thickBot="1" x14ac:dyDescent="0.3">
      <c r="B43" s="18" t="s">
        <v>30</v>
      </c>
      <c r="C43" s="19">
        <v>0.8</v>
      </c>
      <c r="D43" s="19">
        <v>0.9</v>
      </c>
      <c r="E43" s="19">
        <v>0.95</v>
      </c>
      <c r="F43" s="19">
        <v>0.98</v>
      </c>
      <c r="G43" s="19">
        <v>0.99</v>
      </c>
    </row>
    <row r="45" spans="2:7" x14ac:dyDescent="0.2">
      <c r="B45" s="1" t="s">
        <v>31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25"/>
  <sheetViews>
    <sheetView zoomScaleNormal="100" workbookViewId="0"/>
  </sheetViews>
  <sheetFormatPr defaultRowHeight="11.4" x14ac:dyDescent="0.2"/>
  <cols>
    <col min="1" max="1" width="2" style="1" customWidth="1"/>
    <col min="2" max="2" width="10.33203125" style="1" customWidth="1"/>
    <col min="3" max="3" width="9.21875" style="1" customWidth="1"/>
    <col min="4" max="4" width="17.77734375" style="1" bestFit="1" customWidth="1"/>
    <col min="5" max="5" width="8.88671875" style="1"/>
    <col min="6" max="6" width="15.77734375" style="1" customWidth="1"/>
    <col min="7" max="7" width="12.109375" style="1" bestFit="1" customWidth="1"/>
    <col min="8" max="8" width="10.21875" style="1" bestFit="1" customWidth="1"/>
    <col min="9" max="9" width="7.6640625" style="1" bestFit="1" customWidth="1"/>
    <col min="10" max="14" width="8.88671875" style="1"/>
    <col min="15" max="15" width="2.6640625" style="1" bestFit="1" customWidth="1"/>
    <col min="16" max="16384" width="8.88671875" style="1"/>
  </cols>
  <sheetData>
    <row r="1" spans="2:14" ht="15.6" x14ac:dyDescent="0.3">
      <c r="B1" s="2" t="s">
        <v>0</v>
      </c>
    </row>
    <row r="2" spans="2:14" ht="12" x14ac:dyDescent="0.25">
      <c r="B2" s="3" t="s">
        <v>8</v>
      </c>
    </row>
    <row r="3" spans="2:14" ht="12" x14ac:dyDescent="0.25">
      <c r="B3" s="3"/>
    </row>
    <row r="4" spans="2:14" ht="12" x14ac:dyDescent="0.25">
      <c r="B4" s="3" t="s">
        <v>1</v>
      </c>
      <c r="C4" s="1" t="s">
        <v>9</v>
      </c>
    </row>
    <row r="5" spans="2:14" ht="12" x14ac:dyDescent="0.25">
      <c r="B5" s="3" t="s">
        <v>2</v>
      </c>
      <c r="C5" s="1" t="s">
        <v>3</v>
      </c>
    </row>
    <row r="6" spans="2:14" ht="12" x14ac:dyDescent="0.25">
      <c r="B6" s="3" t="s">
        <v>4</v>
      </c>
      <c r="C6" s="1" t="s">
        <v>13</v>
      </c>
    </row>
    <row r="7" spans="2:14" ht="12" x14ac:dyDescent="0.25">
      <c r="B7" s="3" t="s">
        <v>6</v>
      </c>
      <c r="C7" s="1" t="s">
        <v>5</v>
      </c>
    </row>
    <row r="8" spans="2:14" ht="12" x14ac:dyDescent="0.25">
      <c r="B8" s="3" t="s">
        <v>7</v>
      </c>
      <c r="C8" s="1" t="s">
        <v>10</v>
      </c>
    </row>
    <row r="9" spans="2:14" ht="12" x14ac:dyDescent="0.25">
      <c r="B9" s="3" t="s">
        <v>12</v>
      </c>
      <c r="C9" s="1" t="s">
        <v>11</v>
      </c>
    </row>
    <row r="11" spans="2:14" ht="12.6" thickBot="1" x14ac:dyDescent="0.3">
      <c r="B11" s="4" t="s">
        <v>15</v>
      </c>
      <c r="C11" s="4" t="s">
        <v>16</v>
      </c>
      <c r="D11" s="11"/>
    </row>
    <row r="12" spans="2:14" ht="12" x14ac:dyDescent="0.25">
      <c r="B12" s="5">
        <v>228.5752732416</v>
      </c>
      <c r="C12" s="5">
        <v>228.55</v>
      </c>
      <c r="D12" s="7"/>
      <c r="F12" s="9"/>
      <c r="G12" s="7"/>
      <c r="H12" s="8"/>
      <c r="I12" s="8"/>
      <c r="J12" s="8"/>
      <c r="K12" s="8"/>
      <c r="L12" s="8"/>
      <c r="M12" s="8"/>
      <c r="N12" s="8"/>
    </row>
    <row r="13" spans="2:14" ht="12" x14ac:dyDescent="0.25">
      <c r="B13" s="5">
        <v>244.00763158160001</v>
      </c>
      <c r="C13" s="5">
        <v>238.94556573959997</v>
      </c>
      <c r="D13" s="7"/>
      <c r="F13" s="9"/>
      <c r="G13" s="7"/>
      <c r="H13" s="8"/>
      <c r="I13" s="7"/>
      <c r="J13" s="7"/>
      <c r="K13" s="8"/>
      <c r="L13" s="8"/>
      <c r="M13" s="8"/>
      <c r="N13" s="8"/>
    </row>
    <row r="14" spans="2:14" ht="12" x14ac:dyDescent="0.25">
      <c r="B14" s="5">
        <v>262.46032291099999</v>
      </c>
      <c r="C14" s="5">
        <v>255.62</v>
      </c>
      <c r="D14" s="7"/>
      <c r="F14" s="9"/>
      <c r="G14" s="7"/>
      <c r="H14" s="8"/>
      <c r="I14" s="7"/>
      <c r="J14" s="7"/>
      <c r="K14" s="8"/>
      <c r="L14" s="8"/>
      <c r="M14" s="8"/>
      <c r="N14" s="8"/>
    </row>
    <row r="15" spans="2:14" x14ac:dyDescent="0.2">
      <c r="B15" s="5">
        <v>224.320351585</v>
      </c>
      <c r="C15" s="5">
        <v>224.22</v>
      </c>
      <c r="D15" s="7"/>
      <c r="F15" s="8"/>
      <c r="G15" s="8"/>
      <c r="H15" s="8"/>
      <c r="I15" s="7"/>
      <c r="J15" s="7"/>
      <c r="K15" s="8"/>
      <c r="L15" s="8"/>
      <c r="M15" s="8"/>
      <c r="N15" s="8"/>
    </row>
    <row r="16" spans="2:14" ht="12" x14ac:dyDescent="0.25">
      <c r="B16" s="5">
        <v>202.14184802779999</v>
      </c>
      <c r="C16" s="5">
        <v>199.71</v>
      </c>
      <c r="D16" s="7"/>
      <c r="F16" s="9"/>
      <c r="G16" s="9"/>
      <c r="H16" s="7"/>
      <c r="I16" s="7"/>
      <c r="J16" s="7"/>
      <c r="K16" s="8"/>
      <c r="L16" s="8"/>
      <c r="M16" s="8"/>
      <c r="N16" s="8"/>
    </row>
    <row r="17" spans="2:14" x14ac:dyDescent="0.2">
      <c r="B17" s="5">
        <v>246.98387211859998</v>
      </c>
      <c r="C17" s="5">
        <v>248.469535458</v>
      </c>
      <c r="D17" s="7"/>
      <c r="F17" s="8"/>
      <c r="G17" s="8"/>
      <c r="H17" s="8"/>
      <c r="I17" s="7"/>
      <c r="J17" s="7"/>
      <c r="K17" s="8"/>
      <c r="L17" s="8"/>
      <c r="M17" s="8"/>
      <c r="N17" s="8"/>
    </row>
    <row r="18" spans="2:14" ht="12" x14ac:dyDescent="0.25">
      <c r="B18" s="5">
        <v>195.85867356079999</v>
      </c>
      <c r="C18" s="5">
        <v>192.6043982672</v>
      </c>
      <c r="D18" s="7"/>
      <c r="F18" s="9"/>
      <c r="G18" s="9"/>
      <c r="H18" s="10"/>
      <c r="I18" s="7"/>
      <c r="J18" s="7"/>
      <c r="K18" s="8"/>
      <c r="L18" s="8"/>
      <c r="M18" s="8"/>
      <c r="N18" s="8"/>
    </row>
    <row r="19" spans="2:14" x14ac:dyDescent="0.2">
      <c r="B19" s="5">
        <v>231.88220717159999</v>
      </c>
      <c r="C19" s="5">
        <v>228.84839413999998</v>
      </c>
      <c r="D19" s="7"/>
      <c r="F19" s="8"/>
      <c r="G19" s="8"/>
      <c r="H19" s="8"/>
      <c r="I19" s="7"/>
      <c r="J19" s="7"/>
      <c r="K19" s="8"/>
      <c r="L19" s="8"/>
      <c r="M19" s="8"/>
      <c r="N19" s="8"/>
    </row>
    <row r="20" spans="2:14" ht="12" x14ac:dyDescent="0.25">
      <c r="B20" s="5">
        <v>243.32419856939998</v>
      </c>
      <c r="C20" s="5">
        <v>233.85288748739998</v>
      </c>
      <c r="D20" s="7"/>
      <c r="F20" s="9"/>
      <c r="G20" s="11"/>
      <c r="H20" s="11"/>
      <c r="I20" s="11"/>
      <c r="J20" s="11"/>
      <c r="K20" s="8"/>
      <c r="L20" s="8"/>
      <c r="M20" s="8"/>
      <c r="N20" s="8"/>
    </row>
    <row r="21" spans="2:14" x14ac:dyDescent="0.2">
      <c r="B21" s="6">
        <v>266.73729079379996</v>
      </c>
      <c r="C21" s="6">
        <v>270.39999999999998</v>
      </c>
      <c r="D21" s="7"/>
      <c r="F21" s="8"/>
      <c r="G21" s="10"/>
      <c r="H21" s="7"/>
      <c r="I21" s="7"/>
      <c r="J21" s="7"/>
      <c r="K21" s="8"/>
      <c r="L21" s="8"/>
      <c r="M21" s="8"/>
      <c r="N21" s="8"/>
    </row>
    <row r="22" spans="2:14" x14ac:dyDescent="0.2">
      <c r="F22" s="8"/>
      <c r="G22" s="10"/>
      <c r="H22" s="7"/>
      <c r="I22" s="7"/>
      <c r="J22" s="8"/>
      <c r="K22" s="8"/>
      <c r="L22" s="8"/>
      <c r="M22" s="8"/>
      <c r="N22" s="8"/>
    </row>
    <row r="23" spans="2:14" x14ac:dyDescent="0.2">
      <c r="F23" s="8"/>
      <c r="G23" s="10"/>
      <c r="H23" s="7"/>
      <c r="I23" s="8"/>
      <c r="J23" s="8"/>
      <c r="K23" s="8"/>
      <c r="L23" s="8"/>
      <c r="M23" s="8"/>
      <c r="N23" s="8"/>
    </row>
    <row r="24" spans="2:14" x14ac:dyDescent="0.2">
      <c r="F24" s="8"/>
      <c r="G24" s="8"/>
      <c r="H24" s="8"/>
      <c r="I24" s="8"/>
      <c r="J24" s="8"/>
      <c r="K24" s="8"/>
      <c r="L24" s="8"/>
      <c r="M24" s="8"/>
      <c r="N24" s="8"/>
    </row>
    <row r="25" spans="2:14" x14ac:dyDescent="0.2">
      <c r="F25" s="8"/>
      <c r="G25" s="8"/>
      <c r="H25" s="8"/>
      <c r="I25" s="8"/>
      <c r="J25" s="8"/>
      <c r="K25" s="8"/>
      <c r="L25" s="8"/>
      <c r="M25" s="8"/>
      <c r="N25" s="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T30"/>
  <sheetViews>
    <sheetView tabSelected="1" topLeftCell="A10" zoomScaleNormal="100" workbookViewId="0">
      <selection activeCell="F26" sqref="F26"/>
    </sheetView>
  </sheetViews>
  <sheetFormatPr defaultRowHeight="11.4" x14ac:dyDescent="0.2"/>
  <cols>
    <col min="1" max="1" width="2" style="1" customWidth="1"/>
    <col min="2" max="2" width="10.33203125" style="1" customWidth="1"/>
    <col min="3" max="3" width="8.88671875" style="1" customWidth="1"/>
    <col min="4" max="4" width="18.109375" style="1" customWidth="1"/>
    <col min="5" max="5" width="8.88671875" style="1"/>
    <col min="6" max="6" width="15.77734375" style="1" customWidth="1"/>
    <col min="7" max="7" width="12.109375" style="1" customWidth="1"/>
    <col min="8" max="8" width="16.5546875" style="1" customWidth="1"/>
    <col min="9" max="9" width="70.21875" style="1" bestFit="1" customWidth="1"/>
    <col min="10" max="14" width="8.88671875" style="1"/>
    <col min="15" max="15" width="2.6640625" style="1" customWidth="1"/>
    <col min="16" max="16384" width="8.88671875" style="1"/>
  </cols>
  <sheetData>
    <row r="1" spans="2:20" ht="15.6" x14ac:dyDescent="0.3">
      <c r="B1" s="2" t="s">
        <v>0</v>
      </c>
    </row>
    <row r="2" spans="2:20" ht="12" x14ac:dyDescent="0.25">
      <c r="B2" s="3" t="s">
        <v>14</v>
      </c>
    </row>
    <row r="3" spans="2:20" ht="12" x14ac:dyDescent="0.25">
      <c r="B3" s="3"/>
    </row>
    <row r="4" spans="2:20" ht="12" x14ac:dyDescent="0.25">
      <c r="B4" s="3" t="s">
        <v>1</v>
      </c>
      <c r="C4" s="1" t="s">
        <v>9</v>
      </c>
    </row>
    <row r="5" spans="2:20" ht="12" x14ac:dyDescent="0.25">
      <c r="B5" s="3" t="s">
        <v>2</v>
      </c>
      <c r="C5" s="1" t="s">
        <v>3</v>
      </c>
    </row>
    <row r="6" spans="2:20" ht="12" x14ac:dyDescent="0.25">
      <c r="B6" s="3" t="s">
        <v>4</v>
      </c>
      <c r="C6" s="1" t="s">
        <v>13</v>
      </c>
    </row>
    <row r="7" spans="2:20" ht="12" x14ac:dyDescent="0.25">
      <c r="B7" s="3" t="s">
        <v>6</v>
      </c>
      <c r="C7" s="1" t="s">
        <v>5</v>
      </c>
    </row>
    <row r="8" spans="2:20" ht="12" x14ac:dyDescent="0.25">
      <c r="B8" s="3" t="s">
        <v>7</v>
      </c>
      <c r="C8" s="1" t="s">
        <v>10</v>
      </c>
    </row>
    <row r="9" spans="2:20" ht="12" x14ac:dyDescent="0.25">
      <c r="B9" s="3" t="s">
        <v>12</v>
      </c>
      <c r="C9" s="1" t="s">
        <v>11</v>
      </c>
    </row>
    <row r="10" spans="2:20" x14ac:dyDescent="0.2">
      <c r="S10" s="8"/>
      <c r="T10" s="8"/>
    </row>
    <row r="11" spans="2:20" ht="12.6" thickBot="1" x14ac:dyDescent="0.3">
      <c r="B11" s="4" t="s">
        <v>17</v>
      </c>
      <c r="C11" s="4" t="s">
        <v>18</v>
      </c>
      <c r="D11" s="11" t="s">
        <v>19</v>
      </c>
      <c r="E11" s="8"/>
      <c r="F11" s="3" t="s">
        <v>20</v>
      </c>
      <c r="G11" s="5">
        <f>AVERAGE(D12:D21)</f>
        <v>-1.1371963718659388</v>
      </c>
      <c r="H11" s="8"/>
      <c r="M11" s="8"/>
      <c r="N11" s="8"/>
      <c r="O11" s="8"/>
      <c r="S11" s="8"/>
      <c r="T11" s="8"/>
    </row>
    <row r="12" spans="2:20" ht="12" x14ac:dyDescent="0.25">
      <c r="B12" s="5">
        <v>103.67999991305493</v>
      </c>
      <c r="C12" s="5">
        <v>103.66853616350001</v>
      </c>
      <c r="D12" s="7">
        <f>C12-B12</f>
        <v>-1.1463749554920355E-2</v>
      </c>
      <c r="E12" s="8"/>
      <c r="F12" s="3" t="s">
        <v>21</v>
      </c>
      <c r="G12" s="7">
        <f>_xlfn.STDEV.S(D12:D21)</f>
        <v>1.7928657175882481</v>
      </c>
      <c r="H12" s="8"/>
      <c r="I12" s="8"/>
      <c r="J12" s="8"/>
      <c r="K12" s="8"/>
      <c r="L12" s="8"/>
      <c r="M12" s="8"/>
      <c r="N12" s="8"/>
      <c r="O12" s="8"/>
      <c r="S12" s="7"/>
      <c r="T12" s="8"/>
    </row>
    <row r="13" spans="2:20" ht="12" x14ac:dyDescent="0.25">
      <c r="B13" s="5">
        <v>110.67999990718481</v>
      </c>
      <c r="C13" s="5">
        <v>108.38388546481596</v>
      </c>
      <c r="D13" s="7">
        <f t="shared" ref="D13:D21" si="0">C13-B13</f>
        <v>-2.2961144423688467</v>
      </c>
      <c r="E13" s="8"/>
      <c r="F13" s="3" t="s">
        <v>22</v>
      </c>
      <c r="G13" s="7">
        <f>G12/SQRT(COUNT(D12:D21))</f>
        <v>0.56695392064110672</v>
      </c>
      <c r="H13" s="8"/>
      <c r="I13" s="7"/>
      <c r="J13" s="7"/>
      <c r="K13" s="8"/>
      <c r="L13" s="8"/>
      <c r="M13" s="8"/>
      <c r="N13" s="8"/>
      <c r="O13" s="8"/>
      <c r="S13" s="7"/>
      <c r="T13" s="8"/>
    </row>
    <row r="14" spans="2:20" x14ac:dyDescent="0.2">
      <c r="B14" s="5">
        <v>119.04999990016579</v>
      </c>
      <c r="C14" s="5">
        <v>115.9472816194</v>
      </c>
      <c r="D14" s="7">
        <f t="shared" si="0"/>
        <v>-3.1027182807657852</v>
      </c>
      <c r="E14" s="8"/>
      <c r="G14" s="7"/>
      <c r="H14" s="8"/>
      <c r="I14" s="7"/>
      <c r="J14" s="7"/>
      <c r="K14" s="8"/>
      <c r="L14" s="8"/>
      <c r="M14" s="8"/>
      <c r="N14" s="8"/>
      <c r="O14" s="8"/>
      <c r="S14" s="7"/>
      <c r="T14" s="8"/>
    </row>
    <row r="15" spans="2:20" ht="12" x14ac:dyDescent="0.25">
      <c r="B15" s="5">
        <v>101.74999991467341</v>
      </c>
      <c r="C15" s="5">
        <v>101.7044812014</v>
      </c>
      <c r="D15" s="7">
        <f t="shared" si="0"/>
        <v>-4.5518713273409617E-2</v>
      </c>
      <c r="E15" s="8"/>
      <c r="F15" s="3" t="s">
        <v>23</v>
      </c>
      <c r="G15" s="7">
        <f>(G11-0)/G13</f>
        <v>-2.0058003489595886</v>
      </c>
      <c r="H15" s="8"/>
      <c r="I15" s="7"/>
      <c r="J15" s="7"/>
      <c r="K15" s="8"/>
      <c r="L15" s="8"/>
      <c r="M15" s="8"/>
      <c r="N15" s="8"/>
      <c r="O15" s="8"/>
      <c r="S15" s="7"/>
      <c r="T15" s="8"/>
    </row>
    <row r="16" spans="2:20" ht="12" x14ac:dyDescent="0.25">
      <c r="B16" s="5">
        <v>91.689999923109625</v>
      </c>
      <c r="C16" s="5">
        <v>90.586932212700006</v>
      </c>
      <c r="D16" s="7">
        <f t="shared" si="0"/>
        <v>-1.1030677104096185</v>
      </c>
      <c r="E16" s="8"/>
      <c r="F16" s="3" t="s">
        <v>24</v>
      </c>
      <c r="G16" s="10">
        <v>3.7664000000000003E-2</v>
      </c>
      <c r="H16" s="7"/>
      <c r="I16" s="7"/>
      <c r="J16" s="7"/>
      <c r="K16" s="8"/>
      <c r="L16" s="8"/>
      <c r="M16" s="8"/>
      <c r="N16" s="8"/>
      <c r="O16" s="8"/>
      <c r="S16" s="7"/>
      <c r="T16" s="8"/>
    </row>
    <row r="17" spans="2:20" x14ac:dyDescent="0.2">
      <c r="B17" s="5">
        <v>112.02999990605269</v>
      </c>
      <c r="C17" s="5">
        <v>112.70388546119325</v>
      </c>
      <c r="D17" s="7">
        <f t="shared" si="0"/>
        <v>0.67388555514055781</v>
      </c>
      <c r="E17" s="8"/>
      <c r="F17" s="8"/>
      <c r="G17" s="8"/>
      <c r="H17" s="8"/>
      <c r="I17" s="7"/>
      <c r="J17" s="7"/>
      <c r="K17" s="8"/>
      <c r="L17" s="8"/>
      <c r="M17" s="8"/>
      <c r="N17" s="8"/>
      <c r="O17" s="8"/>
      <c r="S17" s="7"/>
      <c r="T17" s="8"/>
    </row>
    <row r="18" spans="2:20" ht="12" x14ac:dyDescent="0.25">
      <c r="B18" s="5">
        <v>88.839999925499612</v>
      </c>
      <c r="C18" s="5">
        <v>87.363885482443138</v>
      </c>
      <c r="D18" s="7">
        <f t="shared" si="0"/>
        <v>-1.4761144430564741</v>
      </c>
      <c r="E18" s="8"/>
      <c r="F18" s="9"/>
      <c r="G18" s="9"/>
      <c r="H18" s="10"/>
      <c r="I18" s="7"/>
      <c r="J18" s="7"/>
      <c r="K18" s="8"/>
      <c r="L18" s="8"/>
      <c r="M18" s="8"/>
      <c r="N18" s="8"/>
      <c r="O18" s="8"/>
      <c r="S18" s="7"/>
      <c r="T18" s="8"/>
    </row>
    <row r="19" spans="2:20" ht="12" x14ac:dyDescent="0.25">
      <c r="B19" s="5">
        <v>105.17999991179704</v>
      </c>
      <c r="C19" s="5">
        <v>103.8038854686567</v>
      </c>
      <c r="D19" s="7">
        <f t="shared" si="0"/>
        <v>-1.376114443140338</v>
      </c>
      <c r="E19" s="8"/>
      <c r="F19" s="9" t="s">
        <v>43</v>
      </c>
      <c r="G19" s="8"/>
      <c r="H19" s="8"/>
      <c r="I19" s="7"/>
      <c r="J19" s="7"/>
      <c r="K19" s="8"/>
      <c r="L19" s="8"/>
      <c r="M19" s="8"/>
      <c r="N19" s="8"/>
      <c r="O19" s="8"/>
      <c r="S19" s="7"/>
      <c r="T19" s="8"/>
    </row>
    <row r="20" spans="2:20" ht="12" x14ac:dyDescent="0.25">
      <c r="B20" s="5">
        <v>110.36999990744475</v>
      </c>
      <c r="C20" s="5">
        <v>106.07388546675311</v>
      </c>
      <c r="D20" s="7">
        <f t="shared" si="0"/>
        <v>-4.2961144406916389</v>
      </c>
      <c r="E20" s="8"/>
      <c r="F20" s="1" t="s">
        <v>42</v>
      </c>
      <c r="G20" s="11"/>
      <c r="H20" s="11"/>
      <c r="I20" s="11"/>
      <c r="J20" s="11"/>
      <c r="K20" s="8"/>
      <c r="L20" s="8"/>
      <c r="M20" s="8"/>
      <c r="N20" s="8"/>
      <c r="O20" s="8"/>
      <c r="S20" s="7"/>
      <c r="T20" s="8"/>
    </row>
    <row r="21" spans="2:20" x14ac:dyDescent="0.2">
      <c r="B21" s="6">
        <v>120.98999989853891</v>
      </c>
      <c r="C21" s="6">
        <v>122.651376848</v>
      </c>
      <c r="D21" s="7">
        <f t="shared" si="0"/>
        <v>1.6613769494610864</v>
      </c>
      <c r="E21" s="8"/>
      <c r="F21" s="8" t="s">
        <v>47</v>
      </c>
      <c r="G21" s="10"/>
      <c r="H21" s="7"/>
      <c r="I21" s="7"/>
      <c r="J21" s="7"/>
      <c r="K21" s="8"/>
      <c r="L21" s="8"/>
      <c r="M21" s="8"/>
      <c r="N21" s="8"/>
      <c r="O21" s="8"/>
      <c r="S21" s="7"/>
      <c r="T21" s="8"/>
    </row>
    <row r="22" spans="2:20" x14ac:dyDescent="0.2">
      <c r="D22" s="8"/>
      <c r="E22" s="8"/>
      <c r="G22" s="10"/>
      <c r="H22" s="7"/>
      <c r="I22" s="7"/>
      <c r="J22" s="8"/>
      <c r="K22" s="8"/>
      <c r="L22" s="8"/>
      <c r="M22" s="8"/>
      <c r="N22" s="8"/>
      <c r="O22" s="8"/>
    </row>
    <row r="23" spans="2:20" ht="12" x14ac:dyDescent="0.25">
      <c r="D23" s="8"/>
      <c r="E23" s="8"/>
      <c r="F23" s="9" t="s">
        <v>32</v>
      </c>
      <c r="G23" s="10"/>
      <c r="H23" s="7"/>
      <c r="I23" s="8"/>
      <c r="J23" s="8"/>
      <c r="K23" s="8"/>
      <c r="L23" s="8"/>
      <c r="M23" s="8"/>
      <c r="N23" s="8"/>
      <c r="O23" s="8"/>
    </row>
    <row r="24" spans="2:20" x14ac:dyDescent="0.2">
      <c r="D24" s="8"/>
      <c r="E24" s="8"/>
      <c r="F24" s="1" t="s">
        <v>33</v>
      </c>
      <c r="G24" s="8"/>
      <c r="H24" s="8"/>
      <c r="I24" s="8"/>
      <c r="J24" s="8"/>
      <c r="K24" s="8"/>
      <c r="L24" s="8"/>
      <c r="M24" s="8"/>
      <c r="N24" s="8"/>
      <c r="O24" s="8"/>
    </row>
    <row r="25" spans="2:20" x14ac:dyDescent="0.2">
      <c r="B25" s="22" t="s">
        <v>37</v>
      </c>
      <c r="C25" s="23"/>
      <c r="D25" s="8"/>
      <c r="E25" s="8"/>
      <c r="F25" s="8" t="s">
        <v>48</v>
      </c>
      <c r="G25" s="8"/>
      <c r="H25" s="8"/>
      <c r="I25" s="8"/>
      <c r="J25" s="8"/>
      <c r="K25" s="8"/>
      <c r="L25" s="8"/>
      <c r="M25" s="8"/>
      <c r="N25" s="8"/>
      <c r="O25" s="8"/>
    </row>
    <row r="26" spans="2:20" x14ac:dyDescent="0.2">
      <c r="B26" s="24" t="s">
        <v>38</v>
      </c>
      <c r="C26" s="25"/>
    </row>
    <row r="27" spans="2:20" ht="12" x14ac:dyDescent="0.25">
      <c r="B27" s="26" t="s">
        <v>39</v>
      </c>
      <c r="C27" s="27"/>
      <c r="F27" s="9" t="s">
        <v>24</v>
      </c>
      <c r="G27" s="9" t="s">
        <v>34</v>
      </c>
      <c r="H27" s="9" t="s">
        <v>35</v>
      </c>
      <c r="I27" s="9" t="s">
        <v>36</v>
      </c>
    </row>
    <row r="28" spans="2:20" x14ac:dyDescent="0.2">
      <c r="F28" s="20">
        <v>3.7999999999999999E-2</v>
      </c>
      <c r="G28" s="21">
        <v>0.01</v>
      </c>
      <c r="H28" s="20" t="s">
        <v>40</v>
      </c>
      <c r="I28" s="28" t="s">
        <v>44</v>
      </c>
    </row>
    <row r="29" spans="2:20" x14ac:dyDescent="0.2">
      <c r="F29" s="20">
        <v>3.7999999999999999E-2</v>
      </c>
      <c r="G29" s="21">
        <v>0.05</v>
      </c>
      <c r="H29" s="20" t="s">
        <v>41</v>
      </c>
      <c r="I29" s="28" t="s">
        <v>45</v>
      </c>
    </row>
    <row r="30" spans="2:20" x14ac:dyDescent="0.2">
      <c r="F30" s="20">
        <v>3.7999999999999999E-2</v>
      </c>
      <c r="G30" s="21">
        <v>0.1</v>
      </c>
      <c r="H30" s="20" t="s">
        <v>41</v>
      </c>
      <c r="I30" s="28" t="s">
        <v>46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t-table</vt:lpstr>
      <vt:lpstr>Weight-loss data, lbs</vt:lpstr>
      <vt:lpstr>Weight-loss data, kg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2023-09-14T18:48:40Z</dcterms:modified>
</cp:coreProperties>
</file>