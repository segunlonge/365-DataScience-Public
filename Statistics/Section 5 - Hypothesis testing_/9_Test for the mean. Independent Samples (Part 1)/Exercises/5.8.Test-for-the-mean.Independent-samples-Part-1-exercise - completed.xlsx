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26274A96-1DCB-4C10-BF5C-7B5A967AF11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Data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5" l="1"/>
  <c r="E19" i="5" l="1"/>
  <c r="D19" i="5"/>
  <c r="C19" i="5"/>
  <c r="E17" i="5"/>
  <c r="E16" i="5" l="1"/>
</calcChain>
</file>

<file path=xl/sharedStrings.xml><?xml version="1.0" encoding="utf-8"?>
<sst xmlns="http://schemas.openxmlformats.org/spreadsheetml/2006/main" count="35" uniqueCount="35">
  <si>
    <t>p-value</t>
  </si>
  <si>
    <t>Size</t>
  </si>
  <si>
    <t>?</t>
  </si>
  <si>
    <t>Mean</t>
  </si>
  <si>
    <t>Hypothesized diff.</t>
  </si>
  <si>
    <t>Z-score</t>
  </si>
  <si>
    <t>Variance</t>
  </si>
  <si>
    <t>Find the standard deviations of the two samples</t>
  </si>
  <si>
    <t>Determine the Z-score</t>
  </si>
  <si>
    <t>Interpret the result</t>
  </si>
  <si>
    <t>Test for two means. Independent samples, population variance known</t>
  </si>
  <si>
    <t>New Cleaning Detergent</t>
  </si>
  <si>
    <t>Ajax</t>
  </si>
  <si>
    <t>Task 1</t>
  </si>
  <si>
    <t>Task 2</t>
  </si>
  <si>
    <t>Task 3</t>
  </si>
  <si>
    <t>Task 4</t>
  </si>
  <si>
    <t>Task 5</t>
  </si>
  <si>
    <t>State the Null Hypothesis</t>
  </si>
  <si>
    <t>Find the p-value</t>
  </si>
  <si>
    <t>Difference</t>
  </si>
  <si>
    <r>
      <rPr>
        <b/>
        <sz val="9"/>
        <color rgb="FF002060"/>
        <rFont val="Arial"/>
        <family val="2"/>
      </rPr>
      <t>Background</t>
    </r>
    <r>
      <rPr>
        <sz val="9"/>
        <color rgb="FF002060"/>
        <rFont val="Arial"/>
        <family val="2"/>
      </rPr>
      <t xml:space="preserve">: </t>
    </r>
    <r>
      <rPr>
        <sz val="9"/>
        <rFont val="Arial"/>
        <family val="2"/>
      </rPr>
      <t>Ajax releases a new dish detergent, called Extreme Ajax+, which they advertise to be able to clean many more dishes with a single bottle.</t>
    </r>
  </si>
  <si>
    <t>Standard deviation</t>
  </si>
  <si>
    <r>
      <t xml:space="preserve">You want to see if that is true and have bought 25 bottles of Extreme Ajax+ and 25 bottles of Ajax and collected data on how many dirty dishes you can wash with a single bottle. </t>
    </r>
    <r>
      <rPr>
        <i/>
        <sz val="9"/>
        <rFont val="Arial"/>
        <family val="2"/>
      </rPr>
      <t>(Population variance is assumed to be known.)</t>
    </r>
  </si>
  <si>
    <t>Extreme Ajax+</t>
  </si>
  <si>
    <t>Online p-value calculator</t>
  </si>
  <si>
    <t>https://www.socscistatistics.com/pvalues/</t>
  </si>
  <si>
    <t>Task 2: The Null Hypothesis is: there is no difference between Extreme Ajax+ and Ajax i.e. Extreme Ajax+ - Ajax &lt;= 0</t>
  </si>
  <si>
    <t>The alternative hypothesis is that there is a difference between Extreme Ajax+ and Ajax i.e. Extreme Ajax+ - Ajax &gt; 0</t>
  </si>
  <si>
    <t>&lt;&lt; Task 1: Standard deviation of the two samples (square root of the variance)</t>
  </si>
  <si>
    <t>Task 3: Determine Z-score</t>
  </si>
  <si>
    <t>Task 4: Use online p-value calculator</t>
  </si>
  <si>
    <t>Task 5: Intepret the result</t>
  </si>
  <si>
    <t xml:space="preserve">We reject the null hypothesis since the p value is less than signficance level </t>
  </si>
  <si>
    <t>Therefore, we say that Extreme Ajax+ lasts longer than Ajax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</si>
</sst>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sz val="9"/>
      <color rgb="FF002060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thin">
        <color rgb="FF002060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3" fillId="2" borderId="1" xfId="0" applyFont="1" applyFill="1" applyBorder="1" applyAlignment="1">
      <alignment horizontal="right"/>
    </xf>
    <xf numFmtId="0" fontId="1" fillId="2" borderId="0" xfId="0" applyFont="1" applyFill="1" applyAlignment="1">
      <alignment horizontal="right"/>
    </xf>
    <xf numFmtId="0" fontId="3" fillId="2" borderId="2" xfId="0" applyFont="1" applyFill="1" applyBorder="1"/>
    <xf numFmtId="0" fontId="1" fillId="2" borderId="0" xfId="1" applyNumberFormat="1" applyFont="1" applyFill="1"/>
    <xf numFmtId="0" fontId="1" fillId="2" borderId="2" xfId="1" applyNumberFormat="1" applyFont="1" applyFill="1" applyBorder="1"/>
    <xf numFmtId="0" fontId="1" fillId="2" borderId="0" xfId="0" applyNumberFormat="1" applyFont="1" applyFill="1"/>
    <xf numFmtId="49" fontId="1" fillId="2" borderId="0" xfId="0" applyNumberFormat="1" applyFont="1" applyFill="1"/>
    <xf numFmtId="49" fontId="5" fillId="2" borderId="0" xfId="0" applyNumberFormat="1" applyFont="1" applyFill="1"/>
    <xf numFmtId="0" fontId="6" fillId="2" borderId="0" xfId="0" applyFont="1" applyFill="1"/>
    <xf numFmtId="49" fontId="3" fillId="2" borderId="0" xfId="0" applyNumberFormat="1" applyFont="1" applyFill="1" applyBorder="1" applyAlignment="1">
      <alignment horizontal="left"/>
    </xf>
    <xf numFmtId="0" fontId="7" fillId="2" borderId="0" xfId="0" applyFont="1" applyFill="1"/>
    <xf numFmtId="2" fontId="1" fillId="2" borderId="2" xfId="1" applyNumberFormat="1" applyFont="1" applyFill="1" applyBorder="1"/>
    <xf numFmtId="49" fontId="1" fillId="2" borderId="0" xfId="0" applyNumberFormat="1" applyFont="1" applyFill="1" applyAlignment="1">
      <alignment horizontal="center"/>
    </xf>
    <xf numFmtId="2" fontId="1" fillId="2" borderId="0" xfId="0" applyNumberFormat="1" applyFont="1" applyFill="1"/>
    <xf numFmtId="0" fontId="9" fillId="2" borderId="0" xfId="2" applyFill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533401</xdr:colOff>
      <xdr:row>24</xdr:row>
      <xdr:rowOff>38101</xdr:rowOff>
    </xdr:from>
    <xdr:to>
      <xdr:col>19</xdr:col>
      <xdr:colOff>365687</xdr:colOff>
      <xdr:row>28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060A3C-F975-485C-8802-76A7BDCC3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60521" y="3695701"/>
          <a:ext cx="8450506" cy="579119"/>
        </a:xfrm>
        <a:prstGeom prst="rect">
          <a:avLst/>
        </a:prstGeom>
      </xdr:spPr>
    </xdr:pic>
    <xdr:clientData/>
  </xdr:twoCellAnchor>
  <xdr:twoCellAnchor editAs="oneCell">
    <xdr:from>
      <xdr:col>5</xdr:col>
      <xdr:colOff>518160</xdr:colOff>
      <xdr:row>27</xdr:row>
      <xdr:rowOff>176574</xdr:rowOff>
    </xdr:from>
    <xdr:to>
      <xdr:col>19</xdr:col>
      <xdr:colOff>386250</xdr:colOff>
      <xdr:row>34</xdr:row>
      <xdr:rowOff>45720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059FB4-A0BE-48F8-A93E-EBC8BCB0C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45280" y="4268514"/>
          <a:ext cx="8486310" cy="9207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1</xdr:rowOff>
    </xdr:from>
    <xdr:to>
      <xdr:col>18</xdr:col>
      <xdr:colOff>130403</xdr:colOff>
      <xdr:row>73</xdr:row>
      <xdr:rowOff>7621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E9E4331-2792-4741-BD07-69CF1D076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27120" y="5722621"/>
          <a:ext cx="8139023" cy="507492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ocscistatistics.com/pvalu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33"/>
  <sheetViews>
    <sheetView tabSelected="1" topLeftCell="A7" zoomScaleNormal="100" workbookViewId="0">
      <selection activeCell="B34" sqref="B34"/>
    </sheetView>
  </sheetViews>
  <sheetFormatPr defaultColWidth="8.88671875" defaultRowHeight="11.4" x14ac:dyDescent="0.2"/>
  <cols>
    <col min="1" max="1" width="2" style="1" customWidth="1"/>
    <col min="2" max="2" width="18.88671875" style="1" customWidth="1"/>
    <col min="3" max="3" width="10.6640625" style="1" bestFit="1" customWidth="1"/>
    <col min="4" max="4" width="12.109375" style="1" bestFit="1" customWidth="1"/>
    <col min="5" max="5" width="9.21875" style="1" bestFit="1" customWidth="1"/>
    <col min="6" max="8" width="8.88671875" style="1"/>
    <col min="9" max="9" width="10.109375" style="1" bestFit="1" customWidth="1"/>
    <col min="10" max="16384" width="8.88671875" style="1"/>
  </cols>
  <sheetData>
    <row r="1" spans="2:11" ht="15.6" x14ac:dyDescent="0.3">
      <c r="B1" s="2" t="s">
        <v>10</v>
      </c>
    </row>
    <row r="2" spans="2:11" ht="12" x14ac:dyDescent="0.25">
      <c r="B2" s="3" t="s">
        <v>11</v>
      </c>
    </row>
    <row r="4" spans="2:11" ht="12" x14ac:dyDescent="0.25">
      <c r="B4" s="12" t="s">
        <v>21</v>
      </c>
      <c r="J4" s="10"/>
      <c r="K4" s="10"/>
    </row>
    <row r="5" spans="2:11" x14ac:dyDescent="0.2">
      <c r="B5" s="14" t="s">
        <v>23</v>
      </c>
      <c r="J5" s="10"/>
      <c r="K5" s="10"/>
    </row>
    <row r="6" spans="2:11" x14ac:dyDescent="0.2">
      <c r="B6" s="12"/>
      <c r="J6" s="10"/>
      <c r="K6" s="10"/>
    </row>
    <row r="7" spans="2:11" ht="12" x14ac:dyDescent="0.25">
      <c r="B7" s="3" t="s">
        <v>13</v>
      </c>
      <c r="C7" s="14" t="s">
        <v>7</v>
      </c>
      <c r="E7" s="10"/>
      <c r="F7" s="10"/>
      <c r="G7" s="10"/>
      <c r="H7" s="16"/>
      <c r="I7" s="16"/>
      <c r="J7" s="10"/>
      <c r="K7" s="10"/>
    </row>
    <row r="8" spans="2:11" ht="12" x14ac:dyDescent="0.25">
      <c r="B8" s="3" t="s">
        <v>14</v>
      </c>
      <c r="C8" s="14" t="s">
        <v>18</v>
      </c>
      <c r="E8" s="10"/>
      <c r="F8" s="10"/>
      <c r="G8" s="13"/>
      <c r="H8" s="10"/>
      <c r="I8" s="10"/>
      <c r="J8" s="10"/>
      <c r="K8" s="10"/>
    </row>
    <row r="9" spans="2:11" ht="12" x14ac:dyDescent="0.25">
      <c r="B9" s="3" t="s">
        <v>15</v>
      </c>
      <c r="C9" s="14" t="s">
        <v>8</v>
      </c>
      <c r="E9" s="10"/>
      <c r="F9" s="11"/>
      <c r="G9" s="10"/>
      <c r="H9" s="10"/>
      <c r="I9" s="10"/>
      <c r="J9" s="10"/>
      <c r="K9" s="10"/>
    </row>
    <row r="10" spans="2:11" ht="12" x14ac:dyDescent="0.25">
      <c r="B10" s="3" t="s">
        <v>16</v>
      </c>
      <c r="C10" s="14" t="s">
        <v>19</v>
      </c>
      <c r="E10" s="10"/>
      <c r="F10" s="10"/>
      <c r="H10" s="10"/>
      <c r="I10" s="10"/>
      <c r="J10" s="10"/>
      <c r="K10" s="10"/>
    </row>
    <row r="11" spans="2:11" ht="12" x14ac:dyDescent="0.25">
      <c r="B11" s="3" t="s">
        <v>17</v>
      </c>
      <c r="C11" s="14" t="s">
        <v>9</v>
      </c>
      <c r="E11" s="10"/>
      <c r="F11" s="10"/>
      <c r="G11" s="10"/>
      <c r="H11" s="10"/>
      <c r="I11" s="10"/>
    </row>
    <row r="12" spans="2:11" x14ac:dyDescent="0.2">
      <c r="E12" s="10"/>
      <c r="F12" s="10"/>
      <c r="G12" s="10"/>
      <c r="H12" s="10"/>
      <c r="I12" s="10"/>
    </row>
    <row r="13" spans="2:11" ht="12" x14ac:dyDescent="0.25">
      <c r="J13" s="3"/>
    </row>
    <row r="14" spans="2:11" ht="12.6" thickBot="1" x14ac:dyDescent="0.3">
      <c r="B14" s="4"/>
      <c r="C14" s="4" t="s">
        <v>24</v>
      </c>
      <c r="D14" s="4" t="s">
        <v>12</v>
      </c>
      <c r="E14" s="4" t="s">
        <v>20</v>
      </c>
      <c r="J14" s="3"/>
    </row>
    <row r="15" spans="2:11" ht="12" x14ac:dyDescent="0.25">
      <c r="B15" s="3" t="s">
        <v>1</v>
      </c>
      <c r="C15" s="1">
        <v>25</v>
      </c>
      <c r="D15" s="1">
        <v>25</v>
      </c>
      <c r="E15" s="5" t="s">
        <v>2</v>
      </c>
      <c r="J15" s="3"/>
    </row>
    <row r="16" spans="2:11" ht="12" x14ac:dyDescent="0.25">
      <c r="B16" s="3" t="s">
        <v>3</v>
      </c>
      <c r="C16" s="7">
        <v>115</v>
      </c>
      <c r="D16" s="7">
        <v>100</v>
      </c>
      <c r="E16" s="7">
        <f>C16-D16</f>
        <v>15</v>
      </c>
      <c r="J16" s="3"/>
    </row>
    <row r="17" spans="2:10" ht="12" x14ac:dyDescent="0.25">
      <c r="B17" s="6" t="s">
        <v>6</v>
      </c>
      <c r="C17" s="8">
        <v>625</v>
      </c>
      <c r="D17" s="8">
        <v>400</v>
      </c>
      <c r="E17" s="15">
        <f>SQRT((C17/C15+D17/D15))</f>
        <v>6.4031242374328485</v>
      </c>
      <c r="J17" s="3"/>
    </row>
    <row r="18" spans="2:10" x14ac:dyDescent="0.2">
      <c r="I18" s="10"/>
      <c r="J18" s="10"/>
    </row>
    <row r="19" spans="2:10" ht="12" x14ac:dyDescent="0.25">
      <c r="B19" s="3" t="s">
        <v>22</v>
      </c>
      <c r="C19" s="9">
        <f>SQRT(C17)</f>
        <v>25</v>
      </c>
      <c r="D19" s="9">
        <f>SQRT(D17)</f>
        <v>20</v>
      </c>
      <c r="E19" s="17">
        <f>SQRT((C17*C17)/C15+(D17*D17)/D15)</f>
        <v>148.40822079655831</v>
      </c>
      <c r="G19" s="10" t="s">
        <v>29</v>
      </c>
      <c r="I19" s="11"/>
      <c r="J19" s="10"/>
    </row>
    <row r="20" spans="2:10" ht="12" x14ac:dyDescent="0.25">
      <c r="B20" s="3" t="s">
        <v>4</v>
      </c>
      <c r="C20" s="9">
        <v>0</v>
      </c>
      <c r="D20" s="9"/>
      <c r="G20" s="1" t="s">
        <v>27</v>
      </c>
      <c r="I20" s="10"/>
      <c r="J20" s="10"/>
    </row>
    <row r="21" spans="2:10" ht="12" x14ac:dyDescent="0.25">
      <c r="B21" s="3" t="s">
        <v>5</v>
      </c>
      <c r="C21" s="17">
        <f>(C16-D16)/(SQRT(C17/C15+D17/D15))</f>
        <v>2.3426064283290908</v>
      </c>
      <c r="D21" s="9"/>
      <c r="G21" s="1" t="s">
        <v>28</v>
      </c>
      <c r="I21" s="10"/>
    </row>
    <row r="22" spans="2:10" ht="12" x14ac:dyDescent="0.25">
      <c r="B22" s="3" t="s">
        <v>0</v>
      </c>
      <c r="C22" s="9">
        <v>9.6419999999999995E-3</v>
      </c>
      <c r="D22" s="9"/>
      <c r="G22" s="1" t="s">
        <v>30</v>
      </c>
      <c r="I22" s="10"/>
    </row>
    <row r="23" spans="2:10" x14ac:dyDescent="0.2">
      <c r="G23" s="1" t="s">
        <v>31</v>
      </c>
    </row>
    <row r="27" spans="2:10" x14ac:dyDescent="0.2">
      <c r="B27" s="1" t="s">
        <v>25</v>
      </c>
    </row>
    <row r="28" spans="2:10" ht="14.4" x14ac:dyDescent="0.3">
      <c r="B28" s="18" t="s">
        <v>26</v>
      </c>
    </row>
    <row r="31" spans="2:10" x14ac:dyDescent="0.2">
      <c r="B31" s="1" t="s">
        <v>32</v>
      </c>
    </row>
    <row r="32" spans="2:10" x14ac:dyDescent="0.2">
      <c r="B32" s="1" t="s">
        <v>33</v>
      </c>
    </row>
    <row r="33" spans="2:2" x14ac:dyDescent="0.2">
      <c r="B33" s="1" t="s">
        <v>34</v>
      </c>
    </row>
  </sheetData>
  <mergeCells count="1">
    <mergeCell ref="H7:I7"/>
  </mergeCells>
  <hyperlinks>
    <hyperlink ref="B28" r:id="rId1" xr:uid="{99E4E52D-949B-4DAF-B2B9-53061866BED7}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2023-09-20T16:50:38Z</dcterms:modified>
</cp:coreProperties>
</file>