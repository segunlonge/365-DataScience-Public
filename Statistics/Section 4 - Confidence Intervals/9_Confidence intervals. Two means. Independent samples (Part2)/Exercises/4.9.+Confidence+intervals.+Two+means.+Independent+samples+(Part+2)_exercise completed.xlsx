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AF433B3-C284-42EE-9CEE-BC5DB57AA12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-table" sheetId="2" r:id="rId1"/>
    <sheet name="CI, indep, var unkw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1" l="1"/>
  <c r="J12" i="1"/>
  <c r="F14" i="1"/>
  <c r="G12" i="1" l="1"/>
  <c r="F12" i="1"/>
  <c r="E18" i="1" l="1"/>
  <c r="F15" i="1"/>
  <c r="G11" i="1"/>
  <c r="F11" i="1"/>
  <c r="G10" i="1"/>
  <c r="F10" i="1"/>
</calcChain>
</file>

<file path=xl/sharedStrings.xml><?xml version="1.0" encoding="utf-8"?>
<sst xmlns="http://schemas.openxmlformats.org/spreadsheetml/2006/main" count="45" uniqueCount="32">
  <si>
    <t>LA apples</t>
  </si>
  <si>
    <t>NY apples</t>
  </si>
  <si>
    <t>Confidence interval for difference of two means; independent samples, variances unknown but assumed to be equal</t>
  </si>
  <si>
    <t>Apples example</t>
  </si>
  <si>
    <t>Background</t>
  </si>
  <si>
    <t>You have the same datasets from the lesson.</t>
  </si>
  <si>
    <t>Task 1</t>
  </si>
  <si>
    <t>Calculate the 90% confidence interval</t>
  </si>
  <si>
    <t>Task 2</t>
  </si>
  <si>
    <t>Compare the result with the 95% confidence interval from the lesson</t>
  </si>
  <si>
    <t>Sample mean</t>
  </si>
  <si>
    <t>Sample std</t>
  </si>
  <si>
    <t>Sample size</t>
  </si>
  <si>
    <t>Pooled variance</t>
  </si>
  <si>
    <t>Pooled std</t>
  </si>
  <si>
    <t>NY</t>
  </si>
  <si>
    <t>LA</t>
  </si>
  <si>
    <t>90% CI, t16, 0.05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</si>
  <si>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</si>
  <si>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</si>
  <si>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</si>
  <si>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</si>
  <si>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</si>
  <si>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</si>
  <si>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</si>
  <si>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Confidence intervals</t>
  </si>
  <si>
    <t>T</t>
  </si>
  <si>
    <t>CI low</t>
  </si>
  <si>
    <t>CI high</t>
  </si>
  <si>
    <t>95% CI, t16,0.025</t>
  </si>
  <si>
    <t>From previous exercise confidence interval at 95%</t>
  </si>
  <si>
    <t>A lower confidence results in a narrower interval (see Margin of error lesson)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</si>
</sst>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164" fontId="2" fillId="2" borderId="0" xfId="1" applyFont="1" applyFill="1" applyBorder="1"/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/>
    <xf numFmtId="0" fontId="3" fillId="2" borderId="0" xfId="0" applyFont="1" applyFill="1" applyBorder="1"/>
    <xf numFmtId="2" fontId="2" fillId="2" borderId="0" xfId="0" applyNumberFormat="1" applyFont="1" applyFill="1" applyBorder="1"/>
    <xf numFmtId="0" fontId="2" fillId="3" borderId="0" xfId="0" applyFont="1" applyFill="1"/>
    <xf numFmtId="0" fontId="3" fillId="2" borderId="3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2" borderId="4" xfId="0" applyFont="1" applyFill="1" applyBorder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3" borderId="4" xfId="0" applyFont="1" applyFill="1" applyBorder="1"/>
    <xf numFmtId="0" fontId="2" fillId="2" borderId="3" xfId="0" applyFont="1" applyFill="1" applyBorder="1" applyAlignment="1">
      <alignment horizontal="right"/>
    </xf>
    <xf numFmtId="165" fontId="2" fillId="2" borderId="1" xfId="0" applyNumberFormat="1" applyFont="1" applyFill="1" applyBorder="1"/>
    <xf numFmtId="165" fontId="2" fillId="3" borderId="1" xfId="0" applyNumberFormat="1" applyFont="1" applyFill="1" applyBorder="1"/>
    <xf numFmtId="0" fontId="7" fillId="2" borderId="5" xfId="0" applyFont="1" applyFill="1" applyBorder="1"/>
    <xf numFmtId="9" fontId="2" fillId="2" borderId="6" xfId="0" applyNumberFormat="1" applyFont="1" applyFill="1" applyBorder="1"/>
    <xf numFmtId="9" fontId="2" fillId="3" borderId="6" xfId="0" applyNumberFormat="1" applyFont="1" applyFill="1" applyBorder="1"/>
    <xf numFmtId="0" fontId="2" fillId="0" borderId="0" xfId="0" applyFont="1" applyFill="1"/>
    <xf numFmtId="0" fontId="3" fillId="0" borderId="1" xfId="0" applyFont="1" applyFill="1" applyBorder="1"/>
    <xf numFmtId="165" fontId="2" fillId="0" borderId="0" xfId="0" applyNumberFormat="1" applyFont="1" applyFill="1"/>
    <xf numFmtId="165" fontId="2" fillId="0" borderId="1" xfId="0" applyNumberFormat="1" applyFont="1" applyFill="1" applyBorder="1"/>
    <xf numFmtId="9" fontId="2" fillId="0" borderId="6" xfId="0" applyNumberFormat="1" applyFont="1" applyFill="1" applyBorder="1"/>
    <xf numFmtId="0" fontId="2" fillId="0" borderId="4" xfId="0" applyFont="1" applyFill="1" applyBorder="1"/>
    <xf numFmtId="9" fontId="3" fillId="2" borderId="2" xfId="0" applyNumberFormat="1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534517</xdr:colOff>
      <xdr:row>36</xdr:row>
      <xdr:rowOff>22086</xdr:rowOff>
    </xdr:from>
    <xdr:to>
      <xdr:col>22</xdr:col>
      <xdr:colOff>440845</xdr:colOff>
      <xdr:row>44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3AAEB-9CF1-49DC-BCC6-A9262852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677" y="5409426"/>
          <a:ext cx="13096548" cy="1219974"/>
        </a:xfrm>
        <a:prstGeom prst="rect">
          <a:avLst/>
        </a:prstGeom>
      </xdr:spPr>
    </xdr:pic>
    <xdr:clientData/>
  </xdr:twoCellAnchor>
  <xdr:twoCellAnchor editAs="oneCell">
    <xdr:from>
      <xdr:col>1</xdr:col>
      <xdr:colOff>548141</xdr:colOff>
      <xdr:row>31</xdr:row>
      <xdr:rowOff>65350</xdr:rowOff>
    </xdr:from>
    <xdr:to>
      <xdr:col>22</xdr:col>
      <xdr:colOff>470609</xdr:colOff>
      <xdr:row>35</xdr:row>
      <xdr:rowOff>124494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487C4-DBD8-495F-B616-95476D7CC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301" y="4728790"/>
          <a:ext cx="13112688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00EC-A76E-4EB8-A704-2888A22A49BE}">
  <sheetPr>
    <pageSetUpPr fitToPage="1"/>
  </sheetPr>
  <dimension ref="B1:G45"/>
  <sheetViews>
    <sheetView zoomScaleNormal="100" workbookViewId="0">
      <selection activeCell="D22" sqref="D22"/>
    </sheetView>
  </sheetViews>
  <sheetFormatPr defaultRowHeight="11.4" x14ac:dyDescent="0.2"/>
  <cols>
    <col min="1" max="1" width="2" style="1" customWidth="1"/>
    <col min="2" max="2" width="6" style="1" customWidth="1"/>
    <col min="3" max="3" width="5.21875" style="1" bestFit="1" customWidth="1"/>
    <col min="4" max="4" width="5.21875" style="12" bestFit="1" customWidth="1"/>
    <col min="5" max="6" width="6.109375" style="1" bestFit="1" customWidth="1"/>
    <col min="7" max="7" width="6.109375" style="26" bestFit="1" customWidth="1"/>
    <col min="8" max="16384" width="8.88671875" style="1"/>
  </cols>
  <sheetData>
    <row r="1" spans="2:7" ht="15.6" x14ac:dyDescent="0.3">
      <c r="B1" s="3" t="s">
        <v>18</v>
      </c>
    </row>
    <row r="2" spans="2:7" ht="12" x14ac:dyDescent="0.25">
      <c r="B2" s="2" t="s">
        <v>19</v>
      </c>
    </row>
    <row r="3" spans="2:7" ht="12" x14ac:dyDescent="0.25">
      <c r="B3" s="2"/>
    </row>
    <row r="4" spans="2:7" ht="12" x14ac:dyDescent="0.25">
      <c r="B4" s="2" t="s">
        <v>20</v>
      </c>
    </row>
    <row r="5" spans="2:7" ht="12" x14ac:dyDescent="0.25">
      <c r="B5" s="2"/>
    </row>
    <row r="6" spans="2:7" ht="12.6" thickBot="1" x14ac:dyDescent="0.3">
      <c r="B6" s="13" t="s">
        <v>21</v>
      </c>
      <c r="C6" s="14">
        <v>0.1</v>
      </c>
      <c r="D6" s="15">
        <v>0.05</v>
      </c>
      <c r="E6" s="14">
        <v>2.5000000000000001E-2</v>
      </c>
      <c r="F6" s="14">
        <v>0.01</v>
      </c>
      <c r="G6" s="27">
        <v>5.0000000000000001E-3</v>
      </c>
    </row>
    <row r="7" spans="2:7" x14ac:dyDescent="0.2">
      <c r="B7" s="16">
        <v>1</v>
      </c>
      <c r="C7" s="17">
        <v>3.0779999999999998</v>
      </c>
      <c r="D7" s="18">
        <v>6.3140000000000001</v>
      </c>
      <c r="E7" s="17">
        <v>12.706</v>
      </c>
      <c r="F7" s="17">
        <v>31.821000000000002</v>
      </c>
      <c r="G7" s="28">
        <v>63.656999999999996</v>
      </c>
    </row>
    <row r="8" spans="2:7" x14ac:dyDescent="0.2">
      <c r="B8" s="16">
        <v>2</v>
      </c>
      <c r="C8" s="17">
        <v>1.8859999999999999</v>
      </c>
      <c r="D8" s="18">
        <v>2.92</v>
      </c>
      <c r="E8" s="17">
        <v>4.3029999999999999</v>
      </c>
      <c r="F8" s="17">
        <v>6.9649999999999999</v>
      </c>
      <c r="G8" s="28">
        <v>9.9250000000000007</v>
      </c>
    </row>
    <row r="9" spans="2:7" x14ac:dyDescent="0.2">
      <c r="B9" s="16">
        <v>3</v>
      </c>
      <c r="C9" s="17">
        <v>1.6379999999999999</v>
      </c>
      <c r="D9" s="18">
        <v>2.3530000000000002</v>
      </c>
      <c r="E9" s="17">
        <v>3.1819999999999999</v>
      </c>
      <c r="F9" s="17">
        <v>4.5410000000000004</v>
      </c>
      <c r="G9" s="28">
        <v>5.8410000000000002</v>
      </c>
    </row>
    <row r="10" spans="2:7" x14ac:dyDescent="0.2">
      <c r="B10" s="16">
        <v>4</v>
      </c>
      <c r="C10" s="17">
        <v>1.5329999999999999</v>
      </c>
      <c r="D10" s="18">
        <v>2.1320000000000001</v>
      </c>
      <c r="E10" s="17">
        <v>2.7759999999999998</v>
      </c>
      <c r="F10" s="17">
        <v>3.7469999999999999</v>
      </c>
      <c r="G10" s="28">
        <v>4.6040000000000001</v>
      </c>
    </row>
    <row r="11" spans="2:7" x14ac:dyDescent="0.2">
      <c r="B11" s="16">
        <v>5</v>
      </c>
      <c r="C11" s="17">
        <v>1.476</v>
      </c>
      <c r="D11" s="18">
        <v>2.0150000000000001</v>
      </c>
      <c r="E11" s="17">
        <v>2.5710000000000002</v>
      </c>
      <c r="F11" s="17">
        <v>3.3650000000000002</v>
      </c>
      <c r="G11" s="28">
        <v>4.032</v>
      </c>
    </row>
    <row r="12" spans="2:7" x14ac:dyDescent="0.2">
      <c r="B12" s="16">
        <v>6</v>
      </c>
      <c r="C12" s="17">
        <v>1.44</v>
      </c>
      <c r="D12" s="18">
        <v>1.9430000000000001</v>
      </c>
      <c r="E12" s="17">
        <v>2.4470000000000001</v>
      </c>
      <c r="F12" s="17">
        <v>3.1429999999999998</v>
      </c>
      <c r="G12" s="28">
        <v>3.7069999999999999</v>
      </c>
    </row>
    <row r="13" spans="2:7" x14ac:dyDescent="0.2">
      <c r="B13" s="16">
        <v>7</v>
      </c>
      <c r="C13" s="17">
        <v>1.415</v>
      </c>
      <c r="D13" s="18">
        <v>1.895</v>
      </c>
      <c r="E13" s="17">
        <v>2.3650000000000002</v>
      </c>
      <c r="F13" s="17">
        <v>2.9980000000000002</v>
      </c>
      <c r="G13" s="28">
        <v>3.4990000000000001</v>
      </c>
    </row>
    <row r="14" spans="2:7" s="26" customFormat="1" x14ac:dyDescent="0.2">
      <c r="B14" s="31">
        <v>8</v>
      </c>
      <c r="C14" s="28">
        <v>1.397</v>
      </c>
      <c r="D14" s="18">
        <v>1.86</v>
      </c>
      <c r="E14" s="28">
        <v>2.306</v>
      </c>
      <c r="F14" s="28">
        <v>2.8959999999999999</v>
      </c>
      <c r="G14" s="28">
        <v>3.355</v>
      </c>
    </row>
    <row r="15" spans="2:7" x14ac:dyDescent="0.2">
      <c r="B15" s="16">
        <v>9</v>
      </c>
      <c r="C15" s="17">
        <v>1.383</v>
      </c>
      <c r="D15" s="18">
        <v>1.833</v>
      </c>
      <c r="E15" s="17">
        <v>2.262</v>
      </c>
      <c r="F15" s="17">
        <v>2.8210000000000002</v>
      </c>
      <c r="G15" s="28">
        <v>3.25</v>
      </c>
    </row>
    <row r="16" spans="2:7" x14ac:dyDescent="0.2">
      <c r="B16" s="16">
        <v>10</v>
      </c>
      <c r="C16" s="17">
        <v>1.3720000000000001</v>
      </c>
      <c r="D16" s="18">
        <v>1.8120000000000001</v>
      </c>
      <c r="E16" s="17">
        <v>2.2280000000000002</v>
      </c>
      <c r="F16" s="17">
        <v>2.7639999999999998</v>
      </c>
      <c r="G16" s="28">
        <v>3.169</v>
      </c>
    </row>
    <row r="17" spans="2:7" x14ac:dyDescent="0.2">
      <c r="B17" s="16">
        <v>11</v>
      </c>
      <c r="C17" s="17">
        <v>1.363</v>
      </c>
      <c r="D17" s="18">
        <v>1.796</v>
      </c>
      <c r="E17" s="17">
        <v>2.2010000000000001</v>
      </c>
      <c r="F17" s="17">
        <v>2.718</v>
      </c>
      <c r="G17" s="28">
        <v>3.1059999999999999</v>
      </c>
    </row>
    <row r="18" spans="2:7" x14ac:dyDescent="0.2">
      <c r="B18" s="16">
        <v>12</v>
      </c>
      <c r="C18" s="17">
        <v>1.3560000000000001</v>
      </c>
      <c r="D18" s="18">
        <v>1.782</v>
      </c>
      <c r="E18" s="17">
        <v>2.1789999999999998</v>
      </c>
      <c r="F18" s="17">
        <v>2.681</v>
      </c>
      <c r="G18" s="28">
        <v>3.0550000000000002</v>
      </c>
    </row>
    <row r="19" spans="2:7" x14ac:dyDescent="0.2">
      <c r="B19" s="16">
        <v>13</v>
      </c>
      <c r="C19" s="17">
        <v>1.35</v>
      </c>
      <c r="D19" s="18">
        <v>1.7709999999999999</v>
      </c>
      <c r="E19" s="17">
        <v>2.16</v>
      </c>
      <c r="F19" s="17">
        <v>2.65</v>
      </c>
      <c r="G19" s="28">
        <v>3.012</v>
      </c>
    </row>
    <row r="20" spans="2:7" x14ac:dyDescent="0.2">
      <c r="B20" s="16">
        <v>14</v>
      </c>
      <c r="C20" s="17">
        <v>1.345</v>
      </c>
      <c r="D20" s="18">
        <v>1.7609999999999999</v>
      </c>
      <c r="E20" s="17">
        <v>2.145</v>
      </c>
      <c r="F20" s="17">
        <v>2.6240000000000001</v>
      </c>
      <c r="G20" s="28">
        <v>2.9769999999999999</v>
      </c>
    </row>
    <row r="21" spans="2:7" x14ac:dyDescent="0.2">
      <c r="B21" s="16">
        <v>15</v>
      </c>
      <c r="C21" s="17">
        <v>1.341</v>
      </c>
      <c r="D21" s="18">
        <v>1.7529999999999999</v>
      </c>
      <c r="E21" s="17">
        <v>2.1309999999999998</v>
      </c>
      <c r="F21" s="17">
        <v>2.6019999999999999</v>
      </c>
      <c r="G21" s="28">
        <v>2.9470000000000001</v>
      </c>
    </row>
    <row r="22" spans="2:7" s="12" customFormat="1" x14ac:dyDescent="0.2">
      <c r="B22" s="19">
        <v>16</v>
      </c>
      <c r="C22" s="18">
        <v>1.337</v>
      </c>
      <c r="D22" s="18">
        <v>1.746</v>
      </c>
      <c r="E22" s="18">
        <v>2.12</v>
      </c>
      <c r="F22" s="18">
        <v>2.5830000000000002</v>
      </c>
      <c r="G22" s="18">
        <v>2.9209999999999998</v>
      </c>
    </row>
    <row r="23" spans="2:7" x14ac:dyDescent="0.2">
      <c r="B23" s="16">
        <v>17</v>
      </c>
      <c r="C23" s="17">
        <v>1.333</v>
      </c>
      <c r="D23" s="18">
        <v>1.74</v>
      </c>
      <c r="E23" s="17">
        <v>2.11</v>
      </c>
      <c r="F23" s="17">
        <v>2.5670000000000002</v>
      </c>
      <c r="G23" s="28">
        <v>2.8980000000000001</v>
      </c>
    </row>
    <row r="24" spans="2:7" x14ac:dyDescent="0.2">
      <c r="B24" s="16">
        <v>18</v>
      </c>
      <c r="C24" s="17">
        <v>1.33</v>
      </c>
      <c r="D24" s="18">
        <v>1.734</v>
      </c>
      <c r="E24" s="17">
        <v>2.101</v>
      </c>
      <c r="F24" s="17">
        <v>2.552</v>
      </c>
      <c r="G24" s="28">
        <v>2.8780000000000001</v>
      </c>
    </row>
    <row r="25" spans="2:7" x14ac:dyDescent="0.2">
      <c r="B25" s="16">
        <v>19</v>
      </c>
      <c r="C25" s="17">
        <v>1.3280000000000001</v>
      </c>
      <c r="D25" s="18">
        <v>1.7290000000000001</v>
      </c>
      <c r="E25" s="17">
        <v>2.093</v>
      </c>
      <c r="F25" s="17">
        <v>2.5390000000000001</v>
      </c>
      <c r="G25" s="28">
        <v>2.8610000000000002</v>
      </c>
    </row>
    <row r="26" spans="2:7" x14ac:dyDescent="0.2">
      <c r="B26" s="16">
        <v>20</v>
      </c>
      <c r="C26" s="17">
        <v>1.325</v>
      </c>
      <c r="D26" s="18">
        <v>1.7250000000000001</v>
      </c>
      <c r="E26" s="17">
        <v>2.0859999999999999</v>
      </c>
      <c r="F26" s="17">
        <v>2.528</v>
      </c>
      <c r="G26" s="28">
        <v>2.8450000000000002</v>
      </c>
    </row>
    <row r="27" spans="2:7" x14ac:dyDescent="0.2">
      <c r="B27" s="16">
        <v>21</v>
      </c>
      <c r="C27" s="17">
        <v>1.323</v>
      </c>
      <c r="D27" s="18">
        <v>1.7210000000000001</v>
      </c>
      <c r="E27" s="17">
        <v>2.08</v>
      </c>
      <c r="F27" s="17">
        <v>2.5179999999999998</v>
      </c>
      <c r="G27" s="28">
        <v>2.831</v>
      </c>
    </row>
    <row r="28" spans="2:7" x14ac:dyDescent="0.2">
      <c r="B28" s="16">
        <v>22</v>
      </c>
      <c r="C28" s="17">
        <v>1.321</v>
      </c>
      <c r="D28" s="18">
        <v>1.7170000000000001</v>
      </c>
      <c r="E28" s="17">
        <v>2.0739999999999998</v>
      </c>
      <c r="F28" s="17">
        <v>2.508</v>
      </c>
      <c r="G28" s="28">
        <v>2.819</v>
      </c>
    </row>
    <row r="29" spans="2:7" x14ac:dyDescent="0.2">
      <c r="B29" s="16">
        <v>23</v>
      </c>
      <c r="C29" s="17">
        <v>1.319</v>
      </c>
      <c r="D29" s="18">
        <v>1.714</v>
      </c>
      <c r="E29" s="17">
        <v>2.069</v>
      </c>
      <c r="F29" s="17">
        <v>2.5</v>
      </c>
      <c r="G29" s="28">
        <v>2.8069999999999999</v>
      </c>
    </row>
    <row r="30" spans="2:7" x14ac:dyDescent="0.2">
      <c r="B30" s="16">
        <v>24</v>
      </c>
      <c r="C30" s="17">
        <v>1.3180000000000001</v>
      </c>
      <c r="D30" s="18">
        <v>1.7110000000000001</v>
      </c>
      <c r="E30" s="17">
        <v>2.0640000000000001</v>
      </c>
      <c r="F30" s="17">
        <v>2.492</v>
      </c>
      <c r="G30" s="28">
        <v>2.7970000000000002</v>
      </c>
    </row>
    <row r="31" spans="2:7" x14ac:dyDescent="0.2">
      <c r="B31" s="16">
        <v>25</v>
      </c>
      <c r="C31" s="17">
        <v>1.3160000000000001</v>
      </c>
      <c r="D31" s="18">
        <v>1.708</v>
      </c>
      <c r="E31" s="17">
        <v>2.06</v>
      </c>
      <c r="F31" s="17">
        <v>2.4849999999999999</v>
      </c>
      <c r="G31" s="28">
        <v>2.7869999999999999</v>
      </c>
    </row>
    <row r="32" spans="2:7" x14ac:dyDescent="0.2">
      <c r="B32" s="16">
        <v>26</v>
      </c>
      <c r="C32" s="17">
        <v>1.3149999999999999</v>
      </c>
      <c r="D32" s="18">
        <v>1.706</v>
      </c>
      <c r="E32" s="17">
        <v>2.056</v>
      </c>
      <c r="F32" s="17">
        <v>2.4790000000000001</v>
      </c>
      <c r="G32" s="28">
        <v>2.7789999999999999</v>
      </c>
    </row>
    <row r="33" spans="2:7" x14ac:dyDescent="0.2">
      <c r="B33" s="16">
        <v>27</v>
      </c>
      <c r="C33" s="17">
        <v>1.3140000000000001</v>
      </c>
      <c r="D33" s="18">
        <v>1.7030000000000001</v>
      </c>
      <c r="E33" s="17">
        <v>2.052</v>
      </c>
      <c r="F33" s="17">
        <v>2.4729999999999999</v>
      </c>
      <c r="G33" s="28">
        <v>2.7709999999999999</v>
      </c>
    </row>
    <row r="34" spans="2:7" x14ac:dyDescent="0.2">
      <c r="B34" s="16">
        <v>28</v>
      </c>
      <c r="C34" s="17">
        <v>1.3129999999999999</v>
      </c>
      <c r="D34" s="18">
        <v>1.7010000000000001</v>
      </c>
      <c r="E34" s="17">
        <v>2.048</v>
      </c>
      <c r="F34" s="17">
        <v>2.4670000000000001</v>
      </c>
      <c r="G34" s="28">
        <v>2.7629999999999999</v>
      </c>
    </row>
    <row r="35" spans="2:7" x14ac:dyDescent="0.2">
      <c r="B35" s="16">
        <v>29</v>
      </c>
      <c r="C35" s="17">
        <v>1.3109999999999999</v>
      </c>
      <c r="D35" s="18">
        <v>1.6990000000000001</v>
      </c>
      <c r="E35" s="17">
        <v>2.0449999999999999</v>
      </c>
      <c r="F35" s="17">
        <v>2.4620000000000002</v>
      </c>
      <c r="G35" s="28">
        <v>2.7559999999999998</v>
      </c>
    </row>
    <row r="36" spans="2:7" x14ac:dyDescent="0.2">
      <c r="B36" s="16">
        <v>30</v>
      </c>
      <c r="C36" s="17">
        <v>1.31</v>
      </c>
      <c r="D36" s="18">
        <v>1.6970000000000001</v>
      </c>
      <c r="E36" s="17">
        <v>2.0419999999999998</v>
      </c>
      <c r="F36" s="17">
        <v>2.4569999999999999</v>
      </c>
      <c r="G36" s="28">
        <v>2.75</v>
      </c>
    </row>
    <row r="37" spans="2:7" x14ac:dyDescent="0.2">
      <c r="B37" s="16">
        <v>35</v>
      </c>
      <c r="C37" s="17">
        <v>1.306</v>
      </c>
      <c r="D37" s="18">
        <v>1.69</v>
      </c>
      <c r="E37" s="17">
        <v>2.0299999999999998</v>
      </c>
      <c r="F37" s="17">
        <v>2.4380000000000002</v>
      </c>
      <c r="G37" s="28">
        <v>2.7240000000000002</v>
      </c>
    </row>
    <row r="38" spans="2:7" x14ac:dyDescent="0.2">
      <c r="B38" s="16">
        <v>40</v>
      </c>
      <c r="C38" s="17">
        <v>1.3029999999999999</v>
      </c>
      <c r="D38" s="18">
        <v>1.6839999999999999</v>
      </c>
      <c r="E38" s="17">
        <v>2.0209999999999999</v>
      </c>
      <c r="F38" s="17">
        <v>2.423</v>
      </c>
      <c r="G38" s="28">
        <v>2.7040000000000002</v>
      </c>
    </row>
    <row r="39" spans="2:7" x14ac:dyDescent="0.2">
      <c r="B39" s="16">
        <v>50</v>
      </c>
      <c r="C39" s="17">
        <v>1.2989999999999999</v>
      </c>
      <c r="D39" s="18">
        <v>1.6759999999999999</v>
      </c>
      <c r="E39" s="17">
        <v>2.0089999999999999</v>
      </c>
      <c r="F39" s="17">
        <v>2.403</v>
      </c>
      <c r="G39" s="28">
        <v>2.6779999999999999</v>
      </c>
    </row>
    <row r="40" spans="2:7" x14ac:dyDescent="0.2">
      <c r="B40" s="16">
        <v>60</v>
      </c>
      <c r="C40" s="17">
        <v>1.296</v>
      </c>
      <c r="D40" s="18">
        <v>1.671</v>
      </c>
      <c r="E40" s="17">
        <v>2</v>
      </c>
      <c r="F40" s="17">
        <v>2.39</v>
      </c>
      <c r="G40" s="28">
        <v>2.66</v>
      </c>
    </row>
    <row r="41" spans="2:7" x14ac:dyDescent="0.2">
      <c r="B41" s="16">
        <v>120</v>
      </c>
      <c r="C41" s="17">
        <v>1.2889999999999999</v>
      </c>
      <c r="D41" s="18">
        <v>1.6579999999999999</v>
      </c>
      <c r="E41" s="17">
        <v>1.98</v>
      </c>
      <c r="F41" s="17">
        <v>2.3580000000000001</v>
      </c>
      <c r="G41" s="28">
        <v>2.617</v>
      </c>
    </row>
    <row r="42" spans="2:7" ht="12" thickBot="1" x14ac:dyDescent="0.25">
      <c r="B42" s="20" t="s">
        <v>22</v>
      </c>
      <c r="C42" s="21">
        <v>1.282</v>
      </c>
      <c r="D42" s="22">
        <v>1.645</v>
      </c>
      <c r="E42" s="21">
        <v>1.96</v>
      </c>
      <c r="F42" s="21">
        <v>2.3260000000000001</v>
      </c>
      <c r="G42" s="29">
        <v>2.5760000000000001</v>
      </c>
    </row>
    <row r="43" spans="2:7" ht="12.6" thickBot="1" x14ac:dyDescent="0.3">
      <c r="B43" s="23" t="s">
        <v>23</v>
      </c>
      <c r="C43" s="24">
        <v>0.8</v>
      </c>
      <c r="D43" s="25">
        <v>0.9</v>
      </c>
      <c r="E43" s="24">
        <v>0.95</v>
      </c>
      <c r="F43" s="24">
        <v>0.98</v>
      </c>
      <c r="G43" s="30">
        <v>0.99</v>
      </c>
    </row>
    <row r="45" spans="2:7" x14ac:dyDescent="0.2">
      <c r="B45" s="1" t="s">
        <v>24</v>
      </c>
    </row>
  </sheetData>
  <pageMargins left="0.7" right="0.7" top="0.75" bottom="0.75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24"/>
  <sheetViews>
    <sheetView tabSelected="1" zoomScale="110" zoomScaleNormal="110" workbookViewId="0">
      <selection activeCell="J12" sqref="J12"/>
    </sheetView>
  </sheetViews>
  <sheetFormatPr defaultRowHeight="11.4" x14ac:dyDescent="0.2"/>
  <cols>
    <col min="1" max="1" width="2" style="1" customWidth="1"/>
    <col min="2" max="2" width="10.88671875" style="1" customWidth="1"/>
    <col min="3" max="4" width="8.88671875" style="1"/>
    <col min="5" max="5" width="13.6640625" style="1" bestFit="1" customWidth="1"/>
    <col min="6" max="7" width="7" style="1" customWidth="1"/>
    <col min="8" max="9" width="8.88671875" style="1"/>
    <col min="10" max="11" width="7.33203125" style="1" bestFit="1" customWidth="1"/>
    <col min="12" max="16" width="8.88671875" style="1"/>
    <col min="17" max="17" width="14.6640625" style="1" customWidth="1"/>
    <col min="18" max="16384" width="8.88671875" style="1"/>
  </cols>
  <sheetData>
    <row r="1" spans="2:24" ht="15.6" x14ac:dyDescent="0.3">
      <c r="B1" s="3" t="s">
        <v>2</v>
      </c>
    </row>
    <row r="2" spans="2:24" ht="12" x14ac:dyDescent="0.25">
      <c r="B2" s="2" t="s">
        <v>3</v>
      </c>
    </row>
    <row r="3" spans="2:24" ht="12" x14ac:dyDescent="0.25">
      <c r="B3" s="2"/>
    </row>
    <row r="4" spans="2:24" ht="12" x14ac:dyDescent="0.25">
      <c r="B4" s="2" t="s">
        <v>4</v>
      </c>
      <c r="C4" s="1" t="s">
        <v>5</v>
      </c>
    </row>
    <row r="5" spans="2:24" ht="12.6" thickBot="1" x14ac:dyDescent="0.3">
      <c r="B5" s="2" t="s">
        <v>6</v>
      </c>
      <c r="C5" s="1" t="s">
        <v>7</v>
      </c>
    </row>
    <row r="6" spans="2:24" ht="12" x14ac:dyDescent="0.25">
      <c r="B6" s="2" t="s">
        <v>8</v>
      </c>
      <c r="C6" s="1" t="s">
        <v>9</v>
      </c>
      <c r="M6" s="35"/>
      <c r="N6" s="36"/>
      <c r="O6" s="36"/>
      <c r="P6" s="36"/>
      <c r="Q6" s="36"/>
      <c r="R6" s="36"/>
      <c r="S6" s="36"/>
      <c r="T6" s="36"/>
      <c r="U6" s="36"/>
      <c r="V6" s="36"/>
      <c r="W6" s="36"/>
      <c r="X6" s="37"/>
    </row>
    <row r="7" spans="2:24" ht="12.6" thickBot="1" x14ac:dyDescent="0.3">
      <c r="B7" s="2"/>
      <c r="M7" s="38"/>
      <c r="N7" s="4" t="s">
        <v>1</v>
      </c>
      <c r="O7" s="4" t="s">
        <v>0</v>
      </c>
      <c r="P7" s="9"/>
      <c r="Q7" s="4"/>
      <c r="R7" s="4" t="s">
        <v>15</v>
      </c>
      <c r="S7" s="4" t="s">
        <v>16</v>
      </c>
      <c r="T7" s="9"/>
      <c r="U7" s="10" t="s">
        <v>25</v>
      </c>
      <c r="V7" s="9"/>
      <c r="W7" s="9"/>
      <c r="X7" s="39"/>
    </row>
    <row r="8" spans="2:24" ht="12" x14ac:dyDescent="0.25">
      <c r="M8" s="38"/>
      <c r="N8" s="7">
        <v>3.8</v>
      </c>
      <c r="O8" s="7">
        <v>3.02</v>
      </c>
      <c r="P8" s="9"/>
      <c r="Q8" s="10" t="s">
        <v>10</v>
      </c>
      <c r="R8" s="7">
        <v>3.9409999999999998</v>
      </c>
      <c r="S8" s="7">
        <v>3.2450000000000001</v>
      </c>
      <c r="T8" s="9"/>
      <c r="U8" s="9"/>
      <c r="V8" s="9"/>
      <c r="W8" s="9"/>
      <c r="X8" s="39"/>
    </row>
    <row r="9" spans="2:24" ht="12.6" thickBot="1" x14ac:dyDescent="0.3">
      <c r="B9" s="4" t="s">
        <v>1</v>
      </c>
      <c r="C9" s="4" t="s">
        <v>0</v>
      </c>
      <c r="E9" s="8"/>
      <c r="F9" s="8" t="s">
        <v>15</v>
      </c>
      <c r="G9" s="8" t="s">
        <v>16</v>
      </c>
      <c r="H9" s="9"/>
      <c r="I9" s="2" t="s">
        <v>25</v>
      </c>
      <c r="L9" s="9"/>
      <c r="M9" s="38"/>
      <c r="N9" s="7">
        <v>3.76</v>
      </c>
      <c r="O9" s="7">
        <v>3.22</v>
      </c>
      <c r="P9" s="9"/>
      <c r="Q9" s="10" t="s">
        <v>11</v>
      </c>
      <c r="R9" s="7">
        <v>0.18393537512458616</v>
      </c>
      <c r="S9" s="7">
        <v>0.26790190102242384</v>
      </c>
      <c r="T9" s="9"/>
      <c r="U9" s="4" t="s">
        <v>26</v>
      </c>
      <c r="V9" s="4" t="s">
        <v>27</v>
      </c>
      <c r="W9" s="4" t="s">
        <v>28</v>
      </c>
      <c r="X9" s="39"/>
    </row>
    <row r="10" spans="2:24" ht="12" x14ac:dyDescent="0.25">
      <c r="B10" s="5">
        <v>3.8</v>
      </c>
      <c r="C10" s="5">
        <v>3.02</v>
      </c>
      <c r="E10" s="10" t="s">
        <v>10</v>
      </c>
      <c r="F10" s="7">
        <f>AVERAGE(B10:B19)</f>
        <v>3.9409999999999998</v>
      </c>
      <c r="G10" s="7">
        <f>AVERAGE(C10:C17)</f>
        <v>3.2450000000000001</v>
      </c>
      <c r="H10" s="9"/>
      <c r="L10" s="9"/>
      <c r="M10" s="38"/>
      <c r="N10" s="7">
        <v>3.87</v>
      </c>
      <c r="O10" s="7">
        <v>3.24</v>
      </c>
      <c r="P10" s="9"/>
      <c r="Q10" s="33" t="s">
        <v>12</v>
      </c>
      <c r="R10" s="34">
        <v>10</v>
      </c>
      <c r="S10" s="34">
        <v>8</v>
      </c>
      <c r="T10" s="9"/>
      <c r="U10" s="32">
        <v>0.95</v>
      </c>
      <c r="V10" s="6">
        <v>0.47017381634318811</v>
      </c>
      <c r="W10" s="6">
        <v>0.92182618365681135</v>
      </c>
      <c r="X10" s="39"/>
    </row>
    <row r="11" spans="2:24" ht="12.6" thickBot="1" x14ac:dyDescent="0.3">
      <c r="B11" s="5">
        <v>3.76</v>
      </c>
      <c r="C11" s="5">
        <v>3.22</v>
      </c>
      <c r="E11" s="10" t="s">
        <v>11</v>
      </c>
      <c r="F11" s="7">
        <f>_xlfn.STDEV.S(B10:B19)</f>
        <v>0.18393537512458616</v>
      </c>
      <c r="G11" s="7">
        <f>_xlfn.STDEV.S(C10:C17)</f>
        <v>0.26790190102242384</v>
      </c>
      <c r="H11" s="9"/>
      <c r="I11" s="4" t="s">
        <v>26</v>
      </c>
      <c r="J11" s="4" t="s">
        <v>27</v>
      </c>
      <c r="K11" s="4" t="s">
        <v>28</v>
      </c>
      <c r="L11" s="9"/>
      <c r="M11" s="38"/>
      <c r="N11" s="7">
        <v>3.99</v>
      </c>
      <c r="O11" s="7">
        <v>3.02</v>
      </c>
      <c r="P11" s="9"/>
      <c r="Q11" s="9"/>
      <c r="R11" s="9"/>
      <c r="S11" s="9"/>
      <c r="T11" s="9"/>
      <c r="U11" s="9"/>
      <c r="V11" s="9"/>
      <c r="W11" s="9"/>
      <c r="X11" s="39"/>
    </row>
    <row r="12" spans="2:24" ht="12" x14ac:dyDescent="0.25">
      <c r="B12" s="5">
        <v>3.87</v>
      </c>
      <c r="C12" s="5">
        <v>3.24</v>
      </c>
      <c r="E12" s="10" t="s">
        <v>12</v>
      </c>
      <c r="F12" s="9">
        <f>COUNT(B10:B19)</f>
        <v>10</v>
      </c>
      <c r="G12" s="9">
        <f>COUNT(C10:C19)</f>
        <v>8</v>
      </c>
      <c r="H12" s="9"/>
      <c r="I12" s="32">
        <v>0.9</v>
      </c>
      <c r="J12" s="6">
        <f>($F$10-$G$10)-$F$17*SQRT($F$14/$F$12+$F$14/$G$12)</f>
        <v>0.5100129638373615</v>
      </c>
      <c r="K12" s="6">
        <f>($F$10-$G$10)+$F$17*SQRT($F$14/$F$12+$F$14/$G$12)</f>
        <v>0.88198703616263796</v>
      </c>
      <c r="L12" s="9"/>
      <c r="M12" s="38"/>
      <c r="N12" s="7">
        <v>4.0199999999999996</v>
      </c>
      <c r="O12" s="7">
        <v>3.06</v>
      </c>
      <c r="P12" s="9"/>
      <c r="Q12" s="10" t="s">
        <v>13</v>
      </c>
      <c r="R12" s="11">
        <v>5.0430625000000007E-2</v>
      </c>
      <c r="S12" s="9"/>
      <c r="T12" s="9"/>
      <c r="U12" s="9"/>
      <c r="V12" s="9"/>
      <c r="W12" s="9"/>
      <c r="X12" s="39"/>
    </row>
    <row r="13" spans="2:24" ht="12" x14ac:dyDescent="0.25">
      <c r="B13" s="5">
        <v>3.99</v>
      </c>
      <c r="C13" s="5">
        <v>3.02</v>
      </c>
      <c r="E13" s="9"/>
      <c r="F13" s="9"/>
      <c r="G13" s="9"/>
      <c r="H13" s="9"/>
      <c r="J13" s="7"/>
      <c r="K13" s="7"/>
      <c r="L13" s="9"/>
      <c r="M13" s="38"/>
      <c r="N13" s="7">
        <v>4.25</v>
      </c>
      <c r="O13" s="7">
        <v>3.15</v>
      </c>
      <c r="P13" s="9"/>
      <c r="Q13" s="10" t="s">
        <v>14</v>
      </c>
      <c r="R13" s="11">
        <v>0.22456764014434494</v>
      </c>
      <c r="S13" s="9"/>
      <c r="T13" s="9"/>
      <c r="U13" s="9"/>
      <c r="V13" s="9"/>
      <c r="W13" s="9"/>
      <c r="X13" s="39"/>
    </row>
    <row r="14" spans="2:24" ht="12" x14ac:dyDescent="0.25">
      <c r="B14" s="5">
        <v>4.0199999999999996</v>
      </c>
      <c r="C14" s="5">
        <v>3.06</v>
      </c>
      <c r="E14" s="10" t="s">
        <v>13</v>
      </c>
      <c r="F14" s="11">
        <f>(F11*F11*9+G11*G11*7)/16</f>
        <v>5.0430625000000007E-2</v>
      </c>
      <c r="G14" s="9"/>
      <c r="H14" s="9"/>
      <c r="I14" s="10"/>
      <c r="J14" s="9"/>
      <c r="K14" s="9"/>
      <c r="L14" s="9"/>
      <c r="M14" s="38"/>
      <c r="N14" s="7">
        <v>4.13</v>
      </c>
      <c r="O14" s="7">
        <v>3.81</v>
      </c>
      <c r="P14" s="9"/>
      <c r="Q14" s="10"/>
      <c r="R14" s="9"/>
      <c r="S14" s="9"/>
      <c r="T14" s="9"/>
      <c r="U14" s="9"/>
      <c r="V14" s="9"/>
      <c r="W14" s="9"/>
      <c r="X14" s="39"/>
    </row>
    <row r="15" spans="2:24" ht="12" x14ac:dyDescent="0.25">
      <c r="B15" s="5">
        <v>4.25</v>
      </c>
      <c r="C15" s="5">
        <v>3.15</v>
      </c>
      <c r="E15" s="10" t="s">
        <v>14</v>
      </c>
      <c r="F15" s="11">
        <f>SQRT(F14)</f>
        <v>0.22456764014434494</v>
      </c>
      <c r="G15" s="9"/>
      <c r="H15" s="9"/>
      <c r="I15" s="9"/>
      <c r="J15" s="9"/>
      <c r="K15" s="9"/>
      <c r="L15" s="9"/>
      <c r="M15" s="38"/>
      <c r="N15" s="7">
        <v>3.98</v>
      </c>
      <c r="O15" s="7">
        <v>3.44</v>
      </c>
      <c r="P15" s="9"/>
      <c r="Q15" s="10" t="s">
        <v>29</v>
      </c>
      <c r="R15" s="9">
        <v>2.12</v>
      </c>
      <c r="S15" s="9"/>
      <c r="T15" s="9"/>
      <c r="U15" s="9"/>
      <c r="V15" s="9"/>
      <c r="W15" s="9"/>
      <c r="X15" s="39"/>
    </row>
    <row r="16" spans="2:24" x14ac:dyDescent="0.2">
      <c r="B16" s="5">
        <v>4.13</v>
      </c>
      <c r="C16" s="5">
        <v>3.81</v>
      </c>
      <c r="E16" s="9"/>
      <c r="F16" s="9"/>
      <c r="G16" s="9"/>
      <c r="H16" s="9"/>
      <c r="I16" s="9"/>
      <c r="J16" s="9"/>
      <c r="K16" s="9"/>
      <c r="L16" s="9"/>
      <c r="M16" s="38"/>
      <c r="N16" s="7">
        <v>3.99</v>
      </c>
      <c r="O16" s="7"/>
      <c r="P16" s="9"/>
      <c r="Q16" s="9"/>
      <c r="R16" s="9"/>
      <c r="S16" s="9"/>
      <c r="T16" s="9"/>
      <c r="U16" s="9"/>
      <c r="V16" s="9"/>
      <c r="W16" s="9"/>
      <c r="X16" s="39"/>
    </row>
    <row r="17" spans="2:24" ht="12" x14ac:dyDescent="0.25">
      <c r="B17" s="5">
        <v>3.98</v>
      </c>
      <c r="C17" s="5">
        <v>3.44</v>
      </c>
      <c r="E17" s="10" t="s">
        <v>17</v>
      </c>
      <c r="F17" s="9">
        <v>1.746</v>
      </c>
      <c r="G17" s="9"/>
      <c r="H17" s="9"/>
      <c r="I17" s="9"/>
      <c r="J17" s="9"/>
      <c r="K17" s="9"/>
      <c r="L17" s="9"/>
      <c r="M17" s="38"/>
      <c r="N17" s="6">
        <v>3.62</v>
      </c>
      <c r="O17" s="6"/>
      <c r="P17" s="9"/>
      <c r="Q17" s="9"/>
      <c r="R17" s="9"/>
      <c r="S17" s="9"/>
      <c r="T17" s="9"/>
      <c r="U17" s="9"/>
      <c r="V17" s="9"/>
      <c r="W17" s="9"/>
      <c r="X17" s="39"/>
    </row>
    <row r="18" spans="2:24" x14ac:dyDescent="0.2">
      <c r="B18" s="5">
        <v>3.99</v>
      </c>
      <c r="C18" s="5"/>
      <c r="E18" s="9">
        <f>(1-0.9)/2</f>
        <v>4.9999999999999989E-2</v>
      </c>
      <c r="F18" s="9"/>
      <c r="G18" s="9"/>
      <c r="H18" s="9"/>
      <c r="I18" s="9"/>
      <c r="J18" s="9"/>
      <c r="K18" s="9"/>
      <c r="L18" s="9"/>
      <c r="M18" s="38"/>
      <c r="N18" s="9"/>
      <c r="O18" s="9"/>
      <c r="P18" s="9"/>
      <c r="Q18" s="9"/>
      <c r="R18" s="9"/>
      <c r="S18" s="9"/>
      <c r="T18" s="9"/>
      <c r="U18" s="9"/>
      <c r="V18" s="9"/>
      <c r="W18" s="9"/>
      <c r="X18" s="39"/>
    </row>
    <row r="19" spans="2:24" ht="12" thickBot="1" x14ac:dyDescent="0.25">
      <c r="B19" s="6">
        <v>3.62</v>
      </c>
      <c r="C19" s="6"/>
      <c r="M19" s="40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2"/>
    </row>
    <row r="21" spans="2:24" x14ac:dyDescent="0.2">
      <c r="M21" s="1" t="s">
        <v>30</v>
      </c>
    </row>
    <row r="24" spans="2:24" x14ac:dyDescent="0.2">
      <c r="I24" s="1" t="s">
        <v>31</v>
      </c>
    </row>
  </sheetData>
  <pageMargins left="0.7" right="0.7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t-table</vt:lpstr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2026-07-27T19:18:30Z</dcterms:modified>
</cp:coreProperties>
</file>