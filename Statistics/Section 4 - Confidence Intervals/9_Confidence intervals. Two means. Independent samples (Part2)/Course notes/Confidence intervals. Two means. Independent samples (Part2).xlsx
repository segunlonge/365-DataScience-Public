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B18F9EE-0A68-4BEC-A50C-0C4D43FBFD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I, indep, var unk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5" i="1"/>
  <c r="G6" i="1"/>
  <c r="F6" i="1"/>
  <c r="F10" i="1" s="1"/>
  <c r="G5" i="1"/>
  <c r="J7" i="1" l="1"/>
  <c r="K7" i="1"/>
</calcChain>
</file>

<file path=xl/sharedStrings.xml><?xml version="1.0" encoding="utf-8"?>
<sst xmlns="http://schemas.openxmlformats.org/spreadsheetml/2006/main" count="16" uniqueCount="16">
  <si>
    <t>LA apples</t>
  </si>
  <si>
    <t>NY apples</t>
  </si>
  <si>
    <t>NY</t>
  </si>
  <si>
    <t>LA</t>
  </si>
  <si>
    <t>CI low</t>
  </si>
  <si>
    <t>CI high</t>
  </si>
  <si>
    <t>Confidence interval for difference of two means; independent samples, variances unknown but assumed to be equal</t>
  </si>
  <si>
    <t>Apples example</t>
  </si>
  <si>
    <t>Sample size</t>
  </si>
  <si>
    <t>Pooled variance</t>
  </si>
  <si>
    <t>Pooled std</t>
  </si>
  <si>
    <t>Confidence intervals</t>
  </si>
  <si>
    <t>Sample mean</t>
  </si>
  <si>
    <t>Sample std</t>
  </si>
  <si>
    <t>T</t>
  </si>
  <si>
    <r>
      <t>95% CI, t</t>
    </r>
    <r>
      <rPr>
        <b/>
        <vertAlign val="subscript"/>
        <sz val="9"/>
        <color rgb="FF002060"/>
        <rFont val="Arial"/>
        <family val="2"/>
      </rPr>
      <t>16,0.025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</si>
</sst>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2" xfId="0" applyFont="1" applyFill="1" applyBorder="1"/>
    <xf numFmtId="2" fontId="2" fillId="2" borderId="0" xfId="0" applyNumberFormat="1" applyFont="1" applyFill="1"/>
    <xf numFmtId="0" fontId="3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2" xfId="1" applyFont="1" applyFill="1" applyBorder="1"/>
    <xf numFmtId="0" fontId="3" fillId="2" borderId="2" xfId="0" applyFont="1" applyFill="1" applyBorder="1"/>
    <xf numFmtId="9" fontId="3" fillId="2" borderId="2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69273</xdr:colOff>
      <xdr:row>16</xdr:row>
      <xdr:rowOff>0</xdr:rowOff>
    </xdr:from>
    <xdr:to>
      <xdr:col>11</xdr:col>
      <xdr:colOff>27709</xdr:colOff>
      <xdr:row>26</xdr:row>
      <xdr:rowOff>105657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791C7-0B4F-40E0-912E-AC23BC62F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818" y="2473036"/>
          <a:ext cx="5673436" cy="156038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55417</xdr:colOff>
      <xdr:row>27</xdr:row>
      <xdr:rowOff>138546</xdr:rowOff>
    </xdr:from>
    <xdr:to>
      <xdr:col>7</xdr:col>
      <xdr:colOff>343490</xdr:colOff>
      <xdr:row>38</xdr:row>
      <xdr:rowOff>124692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8DDE69-EF7D-4489-970C-4A364D8B1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962" y="4211782"/>
          <a:ext cx="3911037" cy="158634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8</xdr:col>
      <xdr:colOff>76199</xdr:colOff>
      <xdr:row>29</xdr:row>
      <xdr:rowOff>41565</xdr:rowOff>
    </xdr:from>
    <xdr:to>
      <xdr:col>13</xdr:col>
      <xdr:colOff>263646</xdr:colOff>
      <xdr:row>38</xdr:row>
      <xdr:rowOff>27711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8A721F-F90C-4E0B-8CC1-57C7DA4DE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7308" y="4405747"/>
          <a:ext cx="2889083" cy="12954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34637</xdr:colOff>
      <xdr:row>43</xdr:row>
      <xdr:rowOff>76200</xdr:rowOff>
    </xdr:from>
    <xdr:to>
      <xdr:col>9</xdr:col>
      <xdr:colOff>201997</xdr:colOff>
      <xdr:row>51</xdr:row>
      <xdr:rowOff>7656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C08CE8-407D-4D46-A551-6E2818961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182" y="6477000"/>
          <a:ext cx="5009524" cy="109523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4"/>
  <sheetViews>
    <sheetView tabSelected="1" zoomScale="110" zoomScaleNormal="110" workbookViewId="0">
      <selection activeCell="M21" sqref="M21"/>
    </sheetView>
  </sheetViews>
  <sheetFormatPr defaultRowHeight="11.4" x14ac:dyDescent="0.2"/>
  <cols>
    <col min="1" max="1" width="2" style="1" customWidth="1"/>
    <col min="2" max="4" width="8.88671875" style="1"/>
    <col min="5" max="5" width="13.6640625" style="1" bestFit="1" customWidth="1"/>
    <col min="6" max="7" width="6.21875" style="1" bestFit="1" customWidth="1"/>
    <col min="8" max="9" width="8.88671875" style="1"/>
    <col min="10" max="10" width="6.21875" style="1" bestFit="1" customWidth="1"/>
    <col min="11" max="11" width="6.44140625" style="1" bestFit="1" customWidth="1"/>
    <col min="12" max="16384" width="8.88671875" style="1"/>
  </cols>
  <sheetData>
    <row r="1" spans="2:11" ht="15.6" x14ac:dyDescent="0.3">
      <c r="B1" s="3" t="s">
        <v>6</v>
      </c>
    </row>
    <row r="2" spans="2:11" ht="12" x14ac:dyDescent="0.25">
      <c r="B2" s="2" t="s">
        <v>7</v>
      </c>
    </row>
    <row r="4" spans="2:11" ht="12.6" thickBot="1" x14ac:dyDescent="0.3">
      <c r="B4" s="6" t="s">
        <v>1</v>
      </c>
      <c r="C4" s="6" t="s">
        <v>0</v>
      </c>
      <c r="E4" s="6"/>
      <c r="F4" s="6" t="s">
        <v>2</v>
      </c>
      <c r="G4" s="6" t="s">
        <v>3</v>
      </c>
      <c r="I4" s="2" t="s">
        <v>11</v>
      </c>
    </row>
    <row r="5" spans="2:11" ht="12" x14ac:dyDescent="0.25">
      <c r="B5" s="7">
        <v>3.8</v>
      </c>
      <c r="C5" s="7">
        <v>3.02</v>
      </c>
      <c r="E5" s="2" t="s">
        <v>12</v>
      </c>
      <c r="F5" s="7">
        <f>AVERAGE(B5:B14)</f>
        <v>3.9409999999999998</v>
      </c>
      <c r="G5" s="7">
        <f>AVERAGE(C5:C12)</f>
        <v>3.2450000000000001</v>
      </c>
    </row>
    <row r="6" spans="2:11" ht="12.6" thickBot="1" x14ac:dyDescent="0.3">
      <c r="B6" s="7">
        <v>3.76</v>
      </c>
      <c r="C6" s="7">
        <v>3.22</v>
      </c>
      <c r="E6" s="2" t="s">
        <v>13</v>
      </c>
      <c r="F6" s="7">
        <f>_xlfn.STDEV.S(B5:B14)</f>
        <v>0.18393537512458616</v>
      </c>
      <c r="G6" s="7">
        <f>_xlfn.STDEV.S(C5:C12)</f>
        <v>0.26790190102242384</v>
      </c>
      <c r="I6" s="6" t="s">
        <v>14</v>
      </c>
      <c r="J6" s="6" t="s">
        <v>4</v>
      </c>
      <c r="K6" s="6" t="s">
        <v>5</v>
      </c>
    </row>
    <row r="7" spans="2:11" ht="12" x14ac:dyDescent="0.25">
      <c r="B7" s="7">
        <v>3.87</v>
      </c>
      <c r="C7" s="7">
        <v>3.24</v>
      </c>
      <c r="E7" s="9" t="s">
        <v>8</v>
      </c>
      <c r="F7" s="4">
        <v>10</v>
      </c>
      <c r="G7" s="4">
        <v>8</v>
      </c>
      <c r="I7" s="10">
        <v>0.95</v>
      </c>
      <c r="J7" s="8">
        <f>($F$5-$G$5)-$F$12*SQRT($F$9/$F$7+$F$9/$G$7)</f>
        <v>0.47017381634318811</v>
      </c>
      <c r="K7" s="8">
        <f>($F$5-$G$5)+$F$12*SQRT($F$9/$F$7+$F$9/$G$7)</f>
        <v>0.92182618365681135</v>
      </c>
    </row>
    <row r="8" spans="2:11" x14ac:dyDescent="0.2">
      <c r="B8" s="7">
        <v>3.99</v>
      </c>
      <c r="C8" s="7">
        <v>3.02</v>
      </c>
    </row>
    <row r="9" spans="2:11" ht="12" x14ac:dyDescent="0.25">
      <c r="B9" s="7">
        <v>4.0199999999999996</v>
      </c>
      <c r="C9" s="7">
        <v>3.06</v>
      </c>
      <c r="E9" s="2" t="s">
        <v>9</v>
      </c>
      <c r="F9" s="5">
        <f>(F6*F6*9+G6*G6*7)/16</f>
        <v>5.0430625000000007E-2</v>
      </c>
    </row>
    <row r="10" spans="2:11" ht="12" x14ac:dyDescent="0.25">
      <c r="B10" s="7">
        <v>4.25</v>
      </c>
      <c r="C10" s="7">
        <v>3.15</v>
      </c>
      <c r="E10" s="2" t="s">
        <v>10</v>
      </c>
      <c r="F10" s="5">
        <f>SQRT(F9)</f>
        <v>0.22456764014434494</v>
      </c>
    </row>
    <row r="11" spans="2:11" ht="12" x14ac:dyDescent="0.25">
      <c r="B11" s="7">
        <v>4.13</v>
      </c>
      <c r="C11" s="7">
        <v>3.81</v>
      </c>
      <c r="E11" s="2"/>
    </row>
    <row r="12" spans="2:11" ht="13.2" x14ac:dyDescent="0.3">
      <c r="B12" s="7">
        <v>3.98</v>
      </c>
      <c r="C12" s="7">
        <v>3.44</v>
      </c>
      <c r="E12" s="2" t="s">
        <v>15</v>
      </c>
      <c r="F12" s="1">
        <v>2.12</v>
      </c>
    </row>
    <row r="13" spans="2:11" x14ac:dyDescent="0.2">
      <c r="B13" s="7">
        <v>3.99</v>
      </c>
      <c r="C13" s="7"/>
    </row>
    <row r="14" spans="2:11" x14ac:dyDescent="0.2">
      <c r="B14" s="8">
        <v>3.62</v>
      </c>
      <c r="C14" s="8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indep, var unkwn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2026-07-24T18:54:10Z</dcterms:modified>
</cp:coreProperties>
</file>