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F574E339-D68A-48E4-8F5A-1ECBF279A38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CI, indep, var kw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9" i="1" l="1"/>
  <c r="H9" i="1"/>
  <c r="E8" i="1"/>
  <c r="E9" i="1"/>
</calcChain>
</file>

<file path=xl/sharedStrings.xml><?xml version="1.0" encoding="utf-8"?>
<sst xmlns="http://schemas.openxmlformats.org/spreadsheetml/2006/main" count="14" uniqueCount="14">
  <si>
    <t>Engineering</t>
  </si>
  <si>
    <t>Management</t>
  </si>
  <si>
    <t>CI low</t>
  </si>
  <si>
    <t>CI high</t>
  </si>
  <si>
    <t>University example</t>
  </si>
  <si>
    <t>Size</t>
  </si>
  <si>
    <t>Population std</t>
  </si>
  <si>
    <t>Difference</t>
  </si>
  <si>
    <t>?</t>
  </si>
  <si>
    <t>Z</t>
  </si>
  <si>
    <t>Confidence intervals</t>
  </si>
  <si>
    <t>Confidence interval for the difference of two means. Independent samples, variance known</t>
  </si>
  <si>
    <t>Sample mean</t>
  </si>
  <si>
    <r>
      <t>95% CI, z</t>
    </r>
    <r>
      <rPr>
        <b/>
        <vertAlign val="subscript"/>
        <sz val="9"/>
        <color rgb="FF002060"/>
        <rFont val="Arial"/>
        <family val="2"/>
      </rPr>
      <t>0.025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</si>
</sst>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rgb="FF002060"/>
      <name val="Arial"/>
      <family val="2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b/>
      <vertAlign val="subscript"/>
      <sz val="9"/>
      <color rgb="FF0020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2060"/>
      </bottom>
      <diagonal/>
    </border>
    <border>
      <left/>
      <right/>
      <top/>
      <bottom style="medium">
        <color rgb="FF00206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2" fillId="2" borderId="0" xfId="0" applyFont="1" applyFill="1"/>
    <xf numFmtId="9" fontId="2" fillId="2" borderId="0" xfId="0" applyNumberFormat="1" applyFont="1" applyFill="1"/>
    <xf numFmtId="0" fontId="3" fillId="2" borderId="0" xfId="0" applyFont="1" applyFill="1"/>
    <xf numFmtId="0" fontId="2" fillId="2" borderId="0" xfId="0" applyFont="1" applyFill="1" applyAlignment="1">
      <alignment horizontal="right"/>
    </xf>
    <xf numFmtId="0" fontId="1" fillId="2" borderId="2" xfId="0" applyFont="1" applyFill="1" applyBorder="1" applyAlignment="1">
      <alignment horizontal="right"/>
    </xf>
    <xf numFmtId="2" fontId="2" fillId="2" borderId="0" xfId="0" applyNumberFormat="1" applyFont="1" applyFill="1"/>
    <xf numFmtId="0" fontId="1" fillId="2" borderId="1" xfId="0" applyFont="1" applyFill="1" applyBorder="1"/>
    <xf numFmtId="0" fontId="2" fillId="2" borderId="1" xfId="0" applyFont="1" applyFill="1" applyBorder="1"/>
    <xf numFmtId="2" fontId="2" fillId="2" borderId="1" xfId="0" applyNumberFormat="1" applyFont="1" applyFill="1" applyBorder="1"/>
    <xf numFmtId="9" fontId="1" fillId="2" borderId="0" xfId="0" applyNumberFormat="1" applyFont="1" applyFill="1"/>
    <xf numFmtId="9" fontId="1" fillId="2" borderId="0" xfId="0" applyNumberFormat="1" applyFont="1" applyFill="1" applyBorder="1"/>
    <xf numFmtId="2" fontId="2" fillId="2" borderId="0" xfId="0" applyNumberFormat="1" applyFont="1" applyFill="1" applyBorder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284019</xdr:colOff>
      <xdr:row>9</xdr:row>
      <xdr:rowOff>48490</xdr:rowOff>
    </xdr:from>
    <xdr:to>
      <xdr:col>12</xdr:col>
      <xdr:colOff>290947</xdr:colOff>
      <xdr:row>17</xdr:row>
      <xdr:rowOff>98332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B69CBE-97A6-4FFE-B1F4-1463DE980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1983" y="1461654"/>
          <a:ext cx="5417128" cy="124826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0</xdr:col>
      <xdr:colOff>110834</xdr:colOff>
      <xdr:row>17</xdr:row>
      <xdr:rowOff>83127</xdr:rowOff>
    </xdr:from>
    <xdr:to>
      <xdr:col>13</xdr:col>
      <xdr:colOff>374072</xdr:colOff>
      <xdr:row>39</xdr:row>
      <xdr:rowOff>60048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5011BF-0E40-4A6B-8F91-95F7CE8F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34" y="2694709"/>
          <a:ext cx="8001002" cy="3177321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2"/>
  <sheetViews>
    <sheetView tabSelected="1" zoomScale="110" zoomScaleNormal="110" workbookViewId="0">
      <selection activeCell="O44" sqref="O44"/>
    </sheetView>
  </sheetViews>
  <sheetFormatPr defaultRowHeight="11.4" x14ac:dyDescent="0.2"/>
  <cols>
    <col min="1" max="1" width="2" style="2" customWidth="1"/>
    <col min="2" max="2" width="12.21875" style="2" customWidth="1"/>
    <col min="3" max="3" width="10.77734375" style="2" bestFit="1" customWidth="1"/>
    <col min="4" max="4" width="11.33203125" style="2" bestFit="1" customWidth="1"/>
    <col min="5" max="5" width="11" style="2" bestFit="1" customWidth="1"/>
    <col min="6" max="7" width="8.88671875" style="2"/>
    <col min="8" max="8" width="5.6640625" style="2" bestFit="1" customWidth="1"/>
    <col min="9" max="9" width="6.44140625" style="2" bestFit="1" customWidth="1"/>
    <col min="10" max="16384" width="8.88671875" style="2"/>
  </cols>
  <sheetData>
    <row r="1" spans="2:14" ht="15.6" x14ac:dyDescent="0.3">
      <c r="B1" s="4" t="s">
        <v>11</v>
      </c>
    </row>
    <row r="2" spans="2:14" ht="12" x14ac:dyDescent="0.25">
      <c r="B2" s="1" t="s">
        <v>4</v>
      </c>
    </row>
    <row r="4" spans="2:14" x14ac:dyDescent="0.2">
      <c r="M4" s="14"/>
      <c r="N4" s="14"/>
    </row>
    <row r="5" spans="2:14" x14ac:dyDescent="0.2">
      <c r="M5" s="3"/>
      <c r="N5" s="3"/>
    </row>
    <row r="6" spans="2:14" ht="12.6" thickBot="1" x14ac:dyDescent="0.3">
      <c r="B6" s="6"/>
      <c r="C6" s="6" t="s">
        <v>0</v>
      </c>
      <c r="D6" s="6" t="s">
        <v>1</v>
      </c>
      <c r="E6" s="6" t="s">
        <v>7</v>
      </c>
      <c r="G6" s="1" t="s">
        <v>10</v>
      </c>
    </row>
    <row r="7" spans="2:14" ht="12" x14ac:dyDescent="0.25">
      <c r="B7" s="1" t="s">
        <v>5</v>
      </c>
      <c r="C7" s="2">
        <v>100</v>
      </c>
      <c r="D7" s="2">
        <v>70</v>
      </c>
      <c r="E7" s="5" t="s">
        <v>8</v>
      </c>
    </row>
    <row r="8" spans="2:14" ht="12.6" thickBot="1" x14ac:dyDescent="0.3">
      <c r="B8" s="1" t="s">
        <v>12</v>
      </c>
      <c r="C8" s="2">
        <v>58</v>
      </c>
      <c r="D8" s="2">
        <v>65</v>
      </c>
      <c r="E8" s="7">
        <f>C8-D8</f>
        <v>-7</v>
      </c>
      <c r="G8" s="6" t="s">
        <v>9</v>
      </c>
      <c r="H8" s="6" t="s">
        <v>2</v>
      </c>
      <c r="I8" s="6" t="s">
        <v>3</v>
      </c>
    </row>
    <row r="9" spans="2:14" ht="12" x14ac:dyDescent="0.25">
      <c r="B9" s="8" t="s">
        <v>6</v>
      </c>
      <c r="C9" s="9">
        <v>10</v>
      </c>
      <c r="D9" s="9">
        <v>5</v>
      </c>
      <c r="E9" s="10">
        <f>SQRT((C9*C9/C7+D9*D9/D7))</f>
        <v>1.1649647450214351</v>
      </c>
      <c r="G9" s="11">
        <v>0.95</v>
      </c>
      <c r="H9" s="7">
        <f>E8-C11*E9</f>
        <v>-9.2833309002420137</v>
      </c>
      <c r="I9" s="7">
        <f>E8+C11*E9</f>
        <v>-4.7166690997579872</v>
      </c>
    </row>
    <row r="10" spans="2:14" ht="12" x14ac:dyDescent="0.25">
      <c r="G10" s="12"/>
      <c r="H10" s="13"/>
      <c r="I10" s="13"/>
    </row>
    <row r="11" spans="2:14" ht="13.2" x14ac:dyDescent="0.3">
      <c r="B11" s="1" t="s">
        <v>13</v>
      </c>
      <c r="C11" s="2">
        <v>1.96</v>
      </c>
    </row>
    <row r="12" spans="2:14" ht="12" x14ac:dyDescent="0.25">
      <c r="B12" s="1"/>
    </row>
  </sheetData>
  <mergeCells count="1">
    <mergeCell ref="M4:N4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CI, indep, var kwn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2026-07-20T17:41:23Z</dcterms:modified>
</cp:coreProperties>
</file>