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2_Population variance known, z-score\Exercises\"/>
    </mc:Choice>
  </mc:AlternateContent>
  <xr:revisionPtr revIDLastSave="0" documentId="13_ncr:1_{660C7DBD-B215-46B0-B374-DAA28153F78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I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6" l="1"/>
  <c r="E17" i="6"/>
  <c r="E15" i="6"/>
  <c r="J16" i="6" l="1"/>
</calcChain>
</file>

<file path=xl/sharedStrings.xml><?xml version="1.0" encoding="utf-8"?>
<sst xmlns="http://schemas.openxmlformats.org/spreadsheetml/2006/main" count="22" uniqueCount="22">
  <si>
    <t>CI low</t>
  </si>
  <si>
    <t>CI high</t>
  </si>
  <si>
    <t>Standard error</t>
  </si>
  <si>
    <t>Z</t>
  </si>
  <si>
    <t>Data scientist salary</t>
  </si>
  <si>
    <t>Sample mean</t>
  </si>
  <si>
    <t>Population std</t>
  </si>
  <si>
    <t>Dataset</t>
  </si>
  <si>
    <t>Confidence intervals. Population known, z-score</t>
  </si>
  <si>
    <t>Background</t>
  </si>
  <si>
    <t>Task 1</t>
  </si>
  <si>
    <t>Calculate the mean and the standard error</t>
  </si>
  <si>
    <t>Task 2</t>
  </si>
  <si>
    <t>Task 3</t>
  </si>
  <si>
    <t>Find the 90% confidence interval</t>
  </si>
  <si>
    <t>Find the appropriate z-score for calculating a 90% confidence interval</t>
  </si>
  <si>
    <r>
      <t>90% CI, z</t>
    </r>
    <r>
      <rPr>
        <b/>
        <vertAlign val="subscript"/>
        <sz val="9"/>
        <color rgb="FF002060"/>
        <rFont val="Arial"/>
        <family val="2"/>
      </rPr>
      <t>0.05</t>
    </r>
  </si>
  <si>
    <t>Solution:</t>
  </si>
  <si>
    <t>You are given the same dataset from the lesson. The population standard deviation is known to be $ 15,000.</t>
  </si>
  <si>
    <t>Task 1:</t>
  </si>
  <si>
    <t>Task 2:</t>
  </si>
  <si>
    <t>Task 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</si>
</sst>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9" fontId="5" fillId="2" borderId="0" xfId="1" applyFont="1" applyFill="1"/>
    <xf numFmtId="165" fontId="3" fillId="2" borderId="0" xfId="2" applyNumberFormat="1" applyFont="1" applyFill="1" applyAlignment="1">
      <alignment horizontal="left" vertical="center" indent="2"/>
    </xf>
    <xf numFmtId="165" fontId="3" fillId="2" borderId="2" xfId="2" applyNumberFormat="1" applyFont="1" applyFill="1" applyBorder="1" applyAlignment="1">
      <alignment horizontal="left" vertical="center" indent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41563</xdr:colOff>
      <xdr:row>19</xdr:row>
      <xdr:rowOff>145472</xdr:rowOff>
    </xdr:from>
    <xdr:to>
      <xdr:col>6</xdr:col>
      <xdr:colOff>173182</xdr:colOff>
      <xdr:row>24</xdr:row>
      <xdr:rowOff>67162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5905F-C8AF-48A4-B512-49359093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908" y="3082636"/>
          <a:ext cx="2507674" cy="655981"/>
        </a:xfrm>
        <a:prstGeom prst="rect">
          <a:avLst/>
        </a:prstGeom>
      </xdr:spPr>
    </xdr:pic>
    <xdr:clientData/>
  </xdr:twoCellAnchor>
  <xdr:twoCellAnchor>
    <xdr:from>
      <xdr:col>6</xdr:col>
      <xdr:colOff>304801</xdr:colOff>
      <xdr:row>19</xdr:row>
      <xdr:rowOff>0</xdr:rowOff>
    </xdr:from>
    <xdr:to>
      <xdr:col>13</xdr:col>
      <xdr:colOff>159328</xdr:colOff>
      <xdr:row>27</xdr:row>
      <xdr:rowOff>13854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E93D2D-7188-4B9C-8AB9-56B2238A34DF}"/>
            </a:ext>
          </a:extLst>
        </xdr:cNvPr>
        <xdr:cNvSpPr txBox="1"/>
      </xdr:nvSpPr>
      <xdr:spPr>
        <a:xfrm>
          <a:off x="4267201" y="2937164"/>
          <a:ext cx="4426527" cy="1184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SE (Standard Error): </a:t>
          </a:r>
          <a:r>
            <a:rPr lang="en-GB" sz="1100"/>
            <a:t>How much sample average deviates from the population average</a:t>
          </a:r>
        </a:p>
        <a:p>
          <a:endParaRPr lang="en-GB" sz="1100"/>
        </a:p>
        <a:p>
          <a:r>
            <a:rPr lang="en-GB" sz="1100" b="1"/>
            <a:t>Z-score: </a:t>
          </a:r>
          <a:r>
            <a:rPr lang="en-GB" sz="1100" b="0"/>
            <a:t>The confidence number of being sure of the null hypothesis holding i.e. z-score outside of this value means the null hypothesis is unlikely.</a:t>
          </a:r>
        </a:p>
      </xdr:txBody>
    </xdr:sp>
    <xdr:clientData/>
  </xdr:twoCellAnchor>
  <xdr:twoCellAnchor editAs="oneCell">
    <xdr:from>
      <xdr:col>2</xdr:col>
      <xdr:colOff>450273</xdr:colOff>
      <xdr:row>28</xdr:row>
      <xdr:rowOff>83128</xdr:rowOff>
    </xdr:from>
    <xdr:to>
      <xdr:col>8</xdr:col>
      <xdr:colOff>264485</xdr:colOff>
      <xdr:row>33</xdr:row>
      <xdr:rowOff>41478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667BF1-667E-43DD-A818-FDF761A4A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7018" y="4336473"/>
          <a:ext cx="3866667" cy="685714"/>
        </a:xfrm>
        <a:prstGeom prst="rect">
          <a:avLst/>
        </a:prstGeom>
      </xdr:spPr>
    </xdr:pic>
    <xdr:clientData/>
  </xdr:twoCellAnchor>
  <xdr:twoCellAnchor>
    <xdr:from>
      <xdr:col>3</xdr:col>
      <xdr:colOff>173182</xdr:colOff>
      <xdr:row>32</xdr:row>
      <xdr:rowOff>90055</xdr:rowOff>
    </xdr:from>
    <xdr:to>
      <xdr:col>13</xdr:col>
      <xdr:colOff>103909</xdr:colOff>
      <xdr:row>40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DD30AB-6FDD-456A-9A6A-5B92B2395D43}"/>
            </a:ext>
          </a:extLst>
        </xdr:cNvPr>
        <xdr:cNvSpPr txBox="1"/>
      </xdr:nvSpPr>
      <xdr:spPr>
        <a:xfrm>
          <a:off x="1759527" y="4925291"/>
          <a:ext cx="6878782" cy="1073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 </a:t>
          </a:r>
          <a:r>
            <a:rPr lang="en-GB" sz="1100" b="1"/>
            <a:t>Margin</a:t>
          </a:r>
          <a:r>
            <a:rPr lang="en-GB" sz="1100" b="1" baseline="0"/>
            <a:t> of Error </a:t>
          </a:r>
          <a:r>
            <a:rPr lang="en-GB" sz="1100" baseline="0"/>
            <a:t>is used in calculating the Confidence Interval i.e. the range by which the sample mean can possibly vary by plus or minus and therefore the range where the answer lies.</a:t>
          </a:r>
        </a:p>
        <a:p>
          <a:endParaRPr lang="en-GB" sz="1100" baseline="0"/>
        </a:p>
        <a:p>
          <a:r>
            <a:rPr lang="en-GB" sz="1100" baseline="0"/>
            <a:t>For example, </a:t>
          </a:r>
          <a:r>
            <a:rPr lang="en-GB"/>
            <a:t>if a poll says</a:t>
          </a:r>
          <a:r>
            <a:rPr lang="en-GB" baseline="0"/>
            <a:t> </a:t>
          </a:r>
          <a:r>
            <a:rPr lang="en-GB"/>
            <a:t>55% of people like Coke with a Margin of Error of 3%, it means the real number is likely between</a:t>
          </a:r>
          <a:r>
            <a:rPr lang="en-GB" baseline="0"/>
            <a:t> </a:t>
          </a:r>
          <a:r>
            <a:rPr lang="en-GB"/>
            <a:t>52% and 58%.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41"/>
  <sheetViews>
    <sheetView tabSelected="1" zoomScale="110" zoomScaleNormal="110" workbookViewId="0">
      <selection activeCell="P37" sqref="P37"/>
    </sheetView>
  </sheetViews>
  <sheetFormatPr defaultRowHeight="11.4" x14ac:dyDescent="0.2"/>
  <cols>
    <col min="1" max="1" width="2" style="1" customWidth="1"/>
    <col min="2" max="2" width="12.21875" style="1" customWidth="1"/>
    <col min="3" max="3" width="8.88671875" style="1"/>
    <col min="4" max="4" width="13.5546875" style="1" bestFit="1" customWidth="1"/>
    <col min="5" max="5" width="12.21875" style="1" bestFit="1" customWidth="1"/>
    <col min="6" max="7" width="8.88671875" style="1"/>
    <col min="8" max="8" width="6.6640625" style="1" bestFit="1" customWidth="1"/>
    <col min="9" max="10" width="12.21875" style="1" bestFit="1" customWidth="1"/>
    <col min="11" max="16384" width="8.88671875" style="1"/>
  </cols>
  <sheetData>
    <row r="1" spans="2:14" ht="15.6" x14ac:dyDescent="0.3">
      <c r="B1" s="3" t="s">
        <v>8</v>
      </c>
    </row>
    <row r="2" spans="2:14" ht="12" x14ac:dyDescent="0.25">
      <c r="B2" s="5" t="s">
        <v>4</v>
      </c>
    </row>
    <row r="3" spans="2:14" ht="12" x14ac:dyDescent="0.25">
      <c r="B3" s="5"/>
    </row>
    <row r="4" spans="2:14" ht="12" x14ac:dyDescent="0.25">
      <c r="B4" s="5" t="s">
        <v>9</v>
      </c>
      <c r="C4" s="1" t="s">
        <v>18</v>
      </c>
    </row>
    <row r="5" spans="2:14" ht="12" x14ac:dyDescent="0.25">
      <c r="B5" s="5" t="s">
        <v>10</v>
      </c>
      <c r="C5" s="1" t="s">
        <v>11</v>
      </c>
    </row>
    <row r="6" spans="2:14" ht="12" x14ac:dyDescent="0.25">
      <c r="B6" s="5" t="s">
        <v>12</v>
      </c>
      <c r="C6" s="1" t="s">
        <v>15</v>
      </c>
    </row>
    <row r="7" spans="2:14" ht="12" x14ac:dyDescent="0.25">
      <c r="B7" s="5" t="s">
        <v>13</v>
      </c>
      <c r="C7" s="1" t="s">
        <v>14</v>
      </c>
    </row>
    <row r="9" spans="2:14" ht="12" x14ac:dyDescent="0.25">
      <c r="B9" s="5" t="s">
        <v>17</v>
      </c>
    </row>
    <row r="11" spans="2:14" ht="12.6" thickBot="1" x14ac:dyDescent="0.3">
      <c r="B11" s="4" t="s">
        <v>7</v>
      </c>
    </row>
    <row r="12" spans="2:14" x14ac:dyDescent="0.2">
      <c r="B12" s="7">
        <v>117313</v>
      </c>
    </row>
    <row r="13" spans="2:14" ht="12" x14ac:dyDescent="0.25">
      <c r="B13" s="7">
        <v>104002</v>
      </c>
      <c r="H13" s="10" t="s">
        <v>21</v>
      </c>
    </row>
    <row r="14" spans="2:14" x14ac:dyDescent="0.2">
      <c r="B14" s="7">
        <v>113038</v>
      </c>
    </row>
    <row r="15" spans="2:14" ht="12.6" thickBot="1" x14ac:dyDescent="0.3">
      <c r="B15" s="7">
        <v>101936</v>
      </c>
      <c r="C15" s="9" t="s">
        <v>19</v>
      </c>
      <c r="D15" s="5" t="s">
        <v>5</v>
      </c>
      <c r="E15" s="7">
        <f>AVERAGE(B12:B41)</f>
        <v>100200.36666666667</v>
      </c>
      <c r="H15" s="4" t="s">
        <v>3</v>
      </c>
      <c r="I15" s="4" t="s">
        <v>0</v>
      </c>
      <c r="J15" s="4" t="s">
        <v>1</v>
      </c>
      <c r="N15" s="2"/>
    </row>
    <row r="16" spans="2:14" ht="12" x14ac:dyDescent="0.25">
      <c r="B16" s="7">
        <v>84560</v>
      </c>
      <c r="D16" s="5" t="s">
        <v>6</v>
      </c>
      <c r="E16" s="7">
        <v>15000</v>
      </c>
      <c r="H16" s="6">
        <v>0.9</v>
      </c>
      <c r="I16" s="7">
        <f>E15-E17*E19</f>
        <v>95681.65556724905</v>
      </c>
      <c r="J16" s="7">
        <f>E15+E19*E17</f>
        <v>104719.07776608429</v>
      </c>
    </row>
    <row r="17" spans="2:14" ht="12" x14ac:dyDescent="0.25">
      <c r="B17" s="7">
        <v>113136</v>
      </c>
      <c r="D17" s="5" t="s">
        <v>2</v>
      </c>
      <c r="E17" s="7">
        <f>E16/SQRT(30)</f>
        <v>2738.6127875258308</v>
      </c>
      <c r="N17" s="2"/>
    </row>
    <row r="18" spans="2:14" x14ac:dyDescent="0.2">
      <c r="B18" s="7">
        <v>80740</v>
      </c>
    </row>
    <row r="19" spans="2:14" ht="13.2" x14ac:dyDescent="0.3">
      <c r="B19" s="7">
        <v>100536</v>
      </c>
      <c r="C19" s="9" t="s">
        <v>20</v>
      </c>
      <c r="D19" s="5" t="s">
        <v>16</v>
      </c>
      <c r="E19" s="1">
        <v>1.65</v>
      </c>
    </row>
    <row r="20" spans="2:14" ht="12" x14ac:dyDescent="0.25">
      <c r="B20" s="7">
        <v>105052</v>
      </c>
      <c r="D20" s="5"/>
    </row>
    <row r="21" spans="2:14" x14ac:dyDescent="0.2">
      <c r="B21" s="7">
        <v>87201</v>
      </c>
    </row>
    <row r="22" spans="2:14" x14ac:dyDescent="0.2">
      <c r="B22" s="7">
        <v>91986</v>
      </c>
    </row>
    <row r="23" spans="2:14" x14ac:dyDescent="0.2">
      <c r="B23" s="7">
        <v>94868</v>
      </c>
    </row>
    <row r="24" spans="2:14" x14ac:dyDescent="0.2">
      <c r="B24" s="7">
        <v>90745</v>
      </c>
    </row>
    <row r="25" spans="2:14" x14ac:dyDescent="0.2">
      <c r="B25" s="7">
        <v>102848</v>
      </c>
    </row>
    <row r="26" spans="2:14" x14ac:dyDescent="0.2">
      <c r="B26" s="7">
        <v>85927</v>
      </c>
    </row>
    <row r="27" spans="2:14" x14ac:dyDescent="0.2">
      <c r="B27" s="7">
        <v>112276</v>
      </c>
    </row>
    <row r="28" spans="2:14" x14ac:dyDescent="0.2">
      <c r="B28" s="7">
        <v>108637</v>
      </c>
    </row>
    <row r="29" spans="2:14" x14ac:dyDescent="0.2">
      <c r="B29" s="7">
        <v>96818</v>
      </c>
    </row>
    <row r="30" spans="2:14" x14ac:dyDescent="0.2">
      <c r="B30" s="7">
        <v>92307</v>
      </c>
    </row>
    <row r="31" spans="2:14" x14ac:dyDescent="0.2">
      <c r="B31" s="7">
        <v>114564</v>
      </c>
    </row>
    <row r="32" spans="2:14" x14ac:dyDescent="0.2">
      <c r="B32" s="7">
        <v>109714</v>
      </c>
    </row>
    <row r="33" spans="2:2" x14ac:dyDescent="0.2">
      <c r="B33" s="7">
        <v>108833</v>
      </c>
    </row>
    <row r="34" spans="2:2" x14ac:dyDescent="0.2">
      <c r="B34" s="7">
        <v>115295</v>
      </c>
    </row>
    <row r="35" spans="2:2" x14ac:dyDescent="0.2">
      <c r="B35" s="7">
        <v>89279</v>
      </c>
    </row>
    <row r="36" spans="2:2" x14ac:dyDescent="0.2">
      <c r="B36" s="7">
        <v>81720</v>
      </c>
    </row>
    <row r="37" spans="2:2" x14ac:dyDescent="0.2">
      <c r="B37" s="7">
        <v>89344</v>
      </c>
    </row>
    <row r="38" spans="2:2" x14ac:dyDescent="0.2">
      <c r="B38" s="7">
        <v>114426</v>
      </c>
    </row>
    <row r="39" spans="2:2" x14ac:dyDescent="0.2">
      <c r="B39" s="7">
        <v>90410</v>
      </c>
    </row>
    <row r="40" spans="2:2" x14ac:dyDescent="0.2">
      <c r="B40" s="7">
        <v>95118</v>
      </c>
    </row>
    <row r="41" spans="2:2" x14ac:dyDescent="0.2">
      <c r="B41" s="8">
        <v>113382</v>
      </c>
    </row>
  </sheetData>
  <pageMargins left="0.7" right="0.7" top="0.75" bottom="0.75" header="0.3" footer="0.3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2026-06-15T16:49:21Z</cp:lastPrinted>
  <dcterms:created xsi:type="dcterms:W3CDTF">2017-04-21T12:34:14Z</dcterms:created>
  <dcterms:modified xsi:type="dcterms:W3CDTF">2026-06-16T16:01:30Z</dcterms:modified>
</cp:coreProperties>
</file>