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long\365 Data Science\Statistics_\Section 4 - Confidence Intervals_\2_Population variance known, z-score\Exercises\"/>
    </mc:Choice>
  </mc:AlternateContent>
  <xr:revisionPtr revIDLastSave="0" documentId="13_ncr:1_{D45ADF4F-787C-431D-AC19-71F05B68B09A}" xr6:coauthVersionLast="47" xr6:coauthVersionMax="47" xr10:uidLastSave="{00000000-0000-0000-0000-000000000000}"/>
  <bookViews>
    <workbookView xWindow="-108" yWindow="-108" windowWidth="30936" windowHeight="16776" xr2:uid="{00000000-000D-0000-FFFF-FFFF00000000}"/>
  </bookViews>
  <sheets>
    <sheet name="CI" sheetId="6"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3" i="6" l="1"/>
  <c r="F15" i="6"/>
  <c r="F11" i="6" l="1"/>
</calcChain>
</file>

<file path=xl/sharedStrings.xml><?xml version="1.0" encoding="utf-8"?>
<sst xmlns="http://schemas.openxmlformats.org/spreadsheetml/2006/main" count="18" uniqueCount="18">
  <si>
    <t>Data scientist salary</t>
  </si>
  <si>
    <t>Dataset</t>
  </si>
  <si>
    <t>Confidence intervals. Population known, z-score</t>
  </si>
  <si>
    <t>Background</t>
  </si>
  <si>
    <t>Task 1</t>
  </si>
  <si>
    <t>Calculate the mean and the standard error</t>
  </si>
  <si>
    <t>Task 2</t>
  </si>
  <si>
    <t>Task 3</t>
  </si>
  <si>
    <t>Find the 90% confidence interval</t>
  </si>
  <si>
    <t>Find the appropriate z-score for calculating a 90% confidence interval</t>
  </si>
  <si>
    <t>You are given the same dataset from the lesson. The population standard deviation is known to be $ 15,000.</t>
  </si>
  <si>
    <t>Mean</t>
  </si>
  <si>
    <t>Standard error</t>
  </si>
  <si>
    <t>90% Confidence interval</t>
  </si>
  <si>
    <t>α = 0.1</t>
  </si>
  <si>
    <t>Population standard deviation/Sqrt count of population number</t>
  </si>
  <si>
    <t>(1-α/2) = (1-0.05) = 0.95</t>
  </si>
  <si>
    <t>Look up 0.95 in the table = 1.65 = 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</si>
</sst>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quot;$&quot;* #,##0_);_(&quot;$&quot;* \(#,##0\);_(&quot;$&quot;* &quot;-&quot;??_);_(@_)"/>
  </numFmts>
  <fonts count="7" x14ac:knownFonts="1">
    <font>
      <sz val="11"/>
      <color theme="1"/>
      <name val="Calibri"/>
      <family val="2"/>
      <scheme val="minor"/>
    </font>
    <font>
      <sz val="11"/>
      <color theme="1"/>
      <name val="Calibri"/>
      <family val="2"/>
      <scheme val="minor"/>
    </font>
    <font>
      <sz val="9"/>
      <color theme="1"/>
      <name val="Arial"/>
      <family val="2"/>
    </font>
    <font>
      <sz val="9"/>
      <color rgb="FF000000"/>
      <name val="Arial"/>
      <family val="2"/>
    </font>
    <font>
      <b/>
      <sz val="12"/>
      <color rgb="FF002060"/>
      <name val="Arial"/>
      <family val="2"/>
    </font>
    <font>
      <b/>
      <sz val="9"/>
      <color rgb="FF002060"/>
      <name val="Arial"/>
      <family val="2"/>
    </font>
    <font>
      <b/>
      <sz val="9"/>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medium">
        <color rgb="FF002060"/>
      </bottom>
      <diagonal/>
    </border>
    <border>
      <left/>
      <right/>
      <top/>
      <bottom style="thin">
        <color rgb="FF002060"/>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7">
    <xf numFmtId="0" fontId="0" fillId="0" borderId="0" xfId="0"/>
    <xf numFmtId="0" fontId="2" fillId="2" borderId="0" xfId="0" applyFont="1" applyFill="1"/>
    <xf numFmtId="9" fontId="2" fillId="2" borderId="0" xfId="0" applyNumberFormat="1" applyFont="1" applyFill="1"/>
    <xf numFmtId="0" fontId="4" fillId="2" borderId="0" xfId="0" applyFont="1" applyFill="1"/>
    <xf numFmtId="0" fontId="5" fillId="2" borderId="1" xfId="0" applyFont="1" applyFill="1" applyBorder="1" applyAlignment="1">
      <alignment horizontal="right"/>
    </xf>
    <xf numFmtId="0" fontId="5" fillId="2" borderId="0" xfId="0" applyFont="1" applyFill="1"/>
    <xf numFmtId="165" fontId="3" fillId="2" borderId="0" xfId="2" applyNumberFormat="1" applyFont="1" applyFill="1" applyAlignment="1">
      <alignment horizontal="left" vertical="center" indent="2"/>
    </xf>
    <xf numFmtId="165" fontId="3" fillId="2" borderId="2" xfId="2" applyNumberFormat="1" applyFont="1" applyFill="1" applyBorder="1" applyAlignment="1">
      <alignment horizontal="left" vertical="center" indent="2"/>
    </xf>
    <xf numFmtId="0" fontId="2" fillId="2" borderId="0" xfId="0" applyFont="1" applyFill="1" applyBorder="1"/>
    <xf numFmtId="0" fontId="5" fillId="2" borderId="0" xfId="0" applyFont="1" applyFill="1" applyBorder="1" applyAlignment="1">
      <alignment horizontal="left"/>
    </xf>
    <xf numFmtId="0" fontId="5" fillId="2" borderId="0" xfId="0" applyFont="1" applyFill="1" applyBorder="1" applyAlignment="1">
      <alignment horizontal="right"/>
    </xf>
    <xf numFmtId="0" fontId="5" fillId="2" borderId="0" xfId="0" applyFont="1" applyFill="1" applyBorder="1"/>
    <xf numFmtId="165" fontId="3" fillId="2" borderId="0" xfId="2" applyNumberFormat="1" applyFont="1" applyFill="1" applyBorder="1" applyAlignment="1">
      <alignment horizontal="left" vertical="center" indent="2"/>
    </xf>
    <xf numFmtId="9" fontId="5" fillId="2" borderId="0" xfId="1" applyFont="1" applyFill="1" applyBorder="1"/>
    <xf numFmtId="165" fontId="2" fillId="2" borderId="0" xfId="0" applyNumberFormat="1" applyFont="1" applyFill="1"/>
    <xf numFmtId="0" fontId="6" fillId="2" borderId="3" xfId="0" applyFont="1" applyFill="1" applyBorder="1"/>
    <xf numFmtId="2" fontId="2" fillId="2" borderId="0" xfId="0" applyNumberFormat="1" applyFont="1" applyFill="1" applyBorder="1"/>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464128</xdr:colOff>
      <xdr:row>21</xdr:row>
      <xdr:rowOff>110836</xdr:rowOff>
    </xdr:from>
    <xdr:to>
      <xdr:col>9</xdr:col>
      <xdr:colOff>436419</xdr:colOff>
      <xdr:row>25</xdr:row>
      <xdr:rowOff>103909</xdr:rowOff>
    </xdr:to>
    <xdr:sp macro="" textlink="">
      <xdr:nvSpPr>
        <xdr:cNvPr id="2" name="TextBox 1">
          <a:extLst>
            <a:ext uri="{FF2B5EF4-FFF2-40B4-BE49-F238E27FC236}">
              <a16:creationId xmlns:a16="http://schemas.microsoft.com/office/drawing/2014/main" id="{415D6FFD-9FA7-4F19-9E59-A7921EC00051}"/>
            </a:ext>
          </a:extLst>
        </xdr:cNvPr>
        <xdr:cNvSpPr txBox="1"/>
      </xdr:nvSpPr>
      <xdr:spPr>
        <a:xfrm>
          <a:off x="2050473" y="3366654"/>
          <a:ext cx="5140037" cy="574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The </a:t>
          </a:r>
          <a:r>
            <a:rPr lang="en-GB" sz="1100" b="1" i="0">
              <a:solidFill>
                <a:schemeClr val="dk1"/>
              </a:solidFill>
              <a:effectLst/>
              <a:latin typeface="+mn-lt"/>
              <a:ea typeface="+mn-ea"/>
              <a:cs typeface="+mn-cs"/>
            </a:rPr>
            <a:t>standard error</a:t>
          </a:r>
          <a:r>
            <a:rPr lang="en-GB" sz="1100" b="0" i="0">
              <a:solidFill>
                <a:schemeClr val="dk1"/>
              </a:solidFill>
              <a:effectLst/>
              <a:latin typeface="+mn-lt"/>
              <a:ea typeface="+mn-ea"/>
              <a:cs typeface="+mn-cs"/>
            </a:rPr>
            <a:t> (often shortened to </a:t>
          </a:r>
          <a:r>
            <a:rPr lang="en-GB" sz="1100" b="1" i="0">
              <a:solidFill>
                <a:schemeClr val="dk1"/>
              </a:solidFill>
              <a:effectLst/>
              <a:latin typeface="+mn-lt"/>
              <a:ea typeface="+mn-ea"/>
              <a:cs typeface="+mn-cs"/>
            </a:rPr>
            <a:t>SE</a:t>
          </a:r>
          <a:r>
            <a:rPr lang="en-GB" sz="1100" b="0" i="0">
              <a:solidFill>
                <a:schemeClr val="dk1"/>
              </a:solidFill>
              <a:effectLst/>
              <a:latin typeface="+mn-lt"/>
              <a:ea typeface="+mn-ea"/>
              <a:cs typeface="+mn-cs"/>
            </a:rPr>
            <a:t>) is a number that tells us how much we expect a sample average to vary from the true average of the entire population.</a:t>
          </a:r>
          <a:endParaRPr lang="en-GB" sz="1100"/>
        </a:p>
      </xdr:txBody>
    </xdr:sp>
    <xdr:clientData/>
  </xdr:twoCellAnchor>
  <xdr:twoCellAnchor editAs="oneCell">
    <xdr:from>
      <xdr:col>3</xdr:col>
      <xdr:colOff>443346</xdr:colOff>
      <xdr:row>25</xdr:row>
      <xdr:rowOff>138545</xdr:rowOff>
    </xdr:from>
    <xdr:to>
      <xdr:col>4</xdr:col>
      <xdr:colOff>1172234</xdr:colOff>
      <xdr:row>33</xdr:row>
      <xdr:rowOff>79525</xdr:rowOff>
    </xdr:to>
    <xdr:pic>
      <xdr:nvPicPr>
        <xdr:cNvPr id="3" name="Picture 2">
          <a:extLst>
            <a:ext uri="{FF2B5EF4-FFF2-40B4-BE49-F238E27FC236}">
              <a16:creationId xmlns:a16="http://schemas.microsoft.com/office/drawing/2014/main" id="{34F4FFBC-2B58-4BDC-A8AD-7E0C16EB89C8}"/>
            </a:ext>
          </a:extLst>
        </xdr:cNvPr>
        <xdr:cNvPicPr>
          <a:picLocks noChangeAspect="1"/>
        </xdr:cNvPicPr>
      </xdr:nvPicPr>
      <xdr:blipFill>
        <a:blip xmlns:r="http://schemas.openxmlformats.org/officeDocument/2006/relationships" r:embed="rId1"/>
        <a:stretch>
          <a:fillRect/>
        </a:stretch>
      </xdr:blipFill>
      <xdr:spPr>
        <a:xfrm>
          <a:off x="2029691" y="3976254"/>
          <a:ext cx="1657143" cy="1104762"/>
        </a:xfrm>
        <a:prstGeom prst="rect">
          <a:avLst/>
        </a:prstGeom>
      </xdr:spPr>
    </xdr:pic>
    <xdr:clientData/>
  </xdr:twoCellAnchor>
  <xdr:twoCellAnchor>
    <xdr:from>
      <xdr:col>3</xdr:col>
      <xdr:colOff>13855</xdr:colOff>
      <xdr:row>32</xdr:row>
      <xdr:rowOff>90055</xdr:rowOff>
    </xdr:from>
    <xdr:to>
      <xdr:col>11</xdr:col>
      <xdr:colOff>277091</xdr:colOff>
      <xdr:row>41</xdr:row>
      <xdr:rowOff>138545</xdr:rowOff>
    </xdr:to>
    <xdr:sp macro="" textlink="">
      <xdr:nvSpPr>
        <xdr:cNvPr id="4" name="TextBox 3">
          <a:extLst>
            <a:ext uri="{FF2B5EF4-FFF2-40B4-BE49-F238E27FC236}">
              <a16:creationId xmlns:a16="http://schemas.microsoft.com/office/drawing/2014/main" id="{6EADBFE2-74BD-40B9-B0C5-8F9390EAA270}"/>
            </a:ext>
          </a:extLst>
        </xdr:cNvPr>
        <xdr:cNvSpPr txBox="1"/>
      </xdr:nvSpPr>
      <xdr:spPr>
        <a:xfrm>
          <a:off x="1600200" y="4946073"/>
          <a:ext cx="6878782" cy="1357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The Significance Level ( alpha</a:t>
          </a:r>
          <a:r>
            <a:rPr lang="el-GR" b="1"/>
            <a:t>):</a:t>
          </a:r>
          <a:r>
            <a:rPr lang="el-GR"/>
            <a:t> </a:t>
          </a:r>
          <a:r>
            <a:rPr lang="en-GB"/>
            <a:t>A percentage that tells us how sure we want to be. Usually, scientists use 5%</a:t>
          </a:r>
          <a:r>
            <a:rPr lang="en-GB" baseline="0"/>
            <a:t> </a:t>
          </a:r>
          <a:r>
            <a:rPr lang="en-GB"/>
            <a:t>which is written as </a:t>
          </a:r>
          <a:r>
            <a:rPr lang="el-GR"/>
            <a:t>α=0.05. </a:t>
          </a:r>
          <a:r>
            <a:rPr lang="en-GB"/>
            <a:t>It means we want to be 95% sure that our result isn’t just a fluke.</a:t>
          </a:r>
        </a:p>
        <a:p>
          <a:endParaRPr lang="en-GB" sz="1100"/>
        </a:p>
        <a:p>
          <a:r>
            <a:rPr lang="en-GB" sz="1100" b="1"/>
            <a:t>The critical value is Z</a:t>
          </a:r>
          <a:r>
            <a:rPr lang="en-GB" sz="1100"/>
            <a:t>.</a:t>
          </a:r>
          <a:r>
            <a:rPr lang="en-GB" sz="1100" baseline="0"/>
            <a:t> A null hypothesis will be rejected if the test statistic lies on either extreme side of the probability distribution. The middle of the probability distribution is where the values for the null hypithesis are hence </a:t>
          </a:r>
          <a:r>
            <a:rPr lang="en-GB" sz="1100" b="0" i="0" baseline="0">
              <a:solidFill>
                <a:schemeClr val="dk1"/>
              </a:solidFill>
              <a:effectLst/>
              <a:latin typeface="+mn-lt"/>
              <a:ea typeface="+mn-ea"/>
              <a:cs typeface="+mn-cs"/>
            </a:rPr>
            <a:t>t</a:t>
          </a:r>
          <a:r>
            <a:rPr lang="en-GB" sz="1100" b="0" i="0">
              <a:solidFill>
                <a:schemeClr val="dk1"/>
              </a:solidFill>
              <a:effectLst/>
              <a:latin typeface="+mn-lt"/>
              <a:ea typeface="+mn-ea"/>
              <a:cs typeface="+mn-cs"/>
            </a:rPr>
            <a:t>he </a:t>
          </a:r>
          <a:r>
            <a:rPr lang="en-GB" sz="1100" b="1" i="0">
              <a:solidFill>
                <a:schemeClr val="dk1"/>
              </a:solidFill>
              <a:effectLst/>
              <a:latin typeface="+mn-lt"/>
              <a:ea typeface="+mn-ea"/>
              <a:cs typeface="+mn-cs"/>
            </a:rPr>
            <a:t>null hypothesis</a:t>
          </a:r>
          <a:r>
            <a:rPr lang="en-GB" sz="1100" b="0" i="0">
              <a:solidFill>
                <a:schemeClr val="dk1"/>
              </a:solidFill>
              <a:effectLst/>
              <a:latin typeface="+mn-lt"/>
              <a:ea typeface="+mn-ea"/>
              <a:cs typeface="+mn-cs"/>
            </a:rPr>
            <a:t> is the claim that “everything is normal,” and the </a:t>
          </a:r>
          <a:r>
            <a:rPr lang="en-GB" sz="1100" b="1" i="0">
              <a:solidFill>
                <a:schemeClr val="dk1"/>
              </a:solidFill>
              <a:effectLst/>
              <a:latin typeface="+mn-lt"/>
              <a:ea typeface="+mn-ea"/>
              <a:cs typeface="+mn-cs"/>
            </a:rPr>
            <a:t>critical value</a:t>
          </a:r>
          <a:r>
            <a:rPr lang="en-GB" sz="1100" b="0" i="0">
              <a:solidFill>
                <a:schemeClr val="dk1"/>
              </a:solidFill>
              <a:effectLst/>
              <a:latin typeface="+mn-lt"/>
              <a:ea typeface="+mn-ea"/>
              <a:cs typeface="+mn-cs"/>
            </a:rPr>
            <a:t> is the exact point where a result becomes “too strange” for the null hypothesis to be true.</a:t>
          </a:r>
          <a:endParaRPr lang="en-GB" sz="1100"/>
        </a:p>
      </xdr:txBody>
    </xdr:sp>
    <xdr:clientData/>
  </xdr:twoCellAnchor>
  <xdr:twoCellAnchor editAs="oneCell">
    <xdr:from>
      <xdr:col>9</xdr:col>
      <xdr:colOff>658091</xdr:colOff>
      <xdr:row>15</xdr:row>
      <xdr:rowOff>53305</xdr:rowOff>
    </xdr:from>
    <xdr:to>
      <xdr:col>15</xdr:col>
      <xdr:colOff>42269</xdr:colOff>
      <xdr:row>31</xdr:row>
      <xdr:rowOff>31307</xdr:rowOff>
    </xdr:to>
    <xdr:pic>
      <xdr:nvPicPr>
        <xdr:cNvPr id="5" name="Picture 4">
          <a:extLst>
            <a:ext uri="{FF2B5EF4-FFF2-40B4-BE49-F238E27FC236}">
              <a16:creationId xmlns:a16="http://schemas.microsoft.com/office/drawing/2014/main" id="{6BB93097-107D-425E-B944-C37E3F902913}"/>
            </a:ext>
          </a:extLst>
        </xdr:cNvPr>
        <xdr:cNvPicPr>
          <a:picLocks noChangeAspect="1"/>
        </xdr:cNvPicPr>
      </xdr:nvPicPr>
      <xdr:blipFill>
        <a:blip xmlns:r="http://schemas.openxmlformats.org/officeDocument/2006/relationships" r:embed="rId2"/>
        <a:stretch>
          <a:fillRect/>
        </a:stretch>
      </xdr:blipFill>
      <xdr:spPr>
        <a:xfrm>
          <a:off x="7412182" y="2408578"/>
          <a:ext cx="3270378" cy="23332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40"/>
  <sheetViews>
    <sheetView tabSelected="1" topLeftCell="A6" zoomScale="110" zoomScaleNormal="110" workbookViewId="0">
      <selection activeCell="Q36" sqref="Q36"/>
    </sheetView>
  </sheetViews>
  <sheetFormatPr defaultRowHeight="11.4" x14ac:dyDescent="0.2"/>
  <cols>
    <col min="1" max="1" width="2" style="1" customWidth="1"/>
    <col min="2" max="2" width="12.21875" style="1" customWidth="1"/>
    <col min="3" max="3" width="8.88671875" style="1"/>
    <col min="4" max="4" width="13.5546875" style="1" bestFit="1" customWidth="1"/>
    <col min="5" max="5" width="23.109375" style="1" customWidth="1"/>
    <col min="6" max="6" width="13.5546875" style="1" customWidth="1"/>
    <col min="7" max="7" width="8.88671875" style="1"/>
    <col min="8" max="8" width="4" style="1" customWidth="1"/>
    <col min="9" max="10" width="12.21875" style="1" bestFit="1" customWidth="1"/>
    <col min="11" max="16384" width="8.88671875" style="1"/>
  </cols>
  <sheetData>
    <row r="1" spans="2:14" ht="15.6" x14ac:dyDescent="0.3">
      <c r="B1" s="3" t="s">
        <v>2</v>
      </c>
    </row>
    <row r="2" spans="2:14" ht="12" x14ac:dyDescent="0.25">
      <c r="B2" s="5" t="s">
        <v>0</v>
      </c>
    </row>
    <row r="3" spans="2:14" ht="12" x14ac:dyDescent="0.25">
      <c r="B3" s="5"/>
    </row>
    <row r="4" spans="2:14" ht="12" x14ac:dyDescent="0.25">
      <c r="B4" s="5" t="s">
        <v>3</v>
      </c>
      <c r="C4" s="1" t="s">
        <v>10</v>
      </c>
    </row>
    <row r="5" spans="2:14" ht="12" x14ac:dyDescent="0.25">
      <c r="B5" s="5" t="s">
        <v>4</v>
      </c>
      <c r="C5" s="1" t="s">
        <v>5</v>
      </c>
    </row>
    <row r="6" spans="2:14" ht="12" x14ac:dyDescent="0.25">
      <c r="B6" s="5" t="s">
        <v>6</v>
      </c>
      <c r="C6" s="1" t="s">
        <v>9</v>
      </c>
    </row>
    <row r="7" spans="2:14" ht="12" x14ac:dyDescent="0.25">
      <c r="B7" s="5" t="s">
        <v>7</v>
      </c>
      <c r="C7" s="1" t="s">
        <v>8</v>
      </c>
    </row>
    <row r="10" spans="2:14" ht="12.6" thickBot="1" x14ac:dyDescent="0.3">
      <c r="B10" s="4" t="s">
        <v>1</v>
      </c>
    </row>
    <row r="11" spans="2:14" ht="12.6" thickBot="1" x14ac:dyDescent="0.3">
      <c r="B11" s="6">
        <v>117313</v>
      </c>
      <c r="E11" s="15" t="s">
        <v>11</v>
      </c>
      <c r="F11" s="14">
        <f>AVERAGE(B11:B40)</f>
        <v>100200.36666666667</v>
      </c>
    </row>
    <row r="12" spans="2:14" ht="12.6" thickBot="1" x14ac:dyDescent="0.3">
      <c r="B12" s="6">
        <v>104002</v>
      </c>
      <c r="C12" s="8"/>
      <c r="D12" s="8"/>
      <c r="E12" s="8"/>
      <c r="F12" s="8"/>
      <c r="G12" s="8"/>
      <c r="H12" s="9"/>
      <c r="I12" s="8"/>
      <c r="J12" s="8"/>
      <c r="K12" s="8"/>
    </row>
    <row r="13" spans="2:14" ht="12.6" thickBot="1" x14ac:dyDescent="0.3">
      <c r="B13" s="6">
        <v>113038</v>
      </c>
      <c r="C13" s="8"/>
      <c r="D13" s="8"/>
      <c r="E13" s="15" t="s">
        <v>12</v>
      </c>
      <c r="F13" s="6">
        <f>F14/F15</f>
        <v>2738.6127875258308</v>
      </c>
      <c r="G13" s="8" t="s">
        <v>15</v>
      </c>
      <c r="H13" s="8"/>
      <c r="I13" s="8"/>
      <c r="J13" s="8"/>
      <c r="K13" s="8"/>
    </row>
    <row r="14" spans="2:14" ht="12" x14ac:dyDescent="0.25">
      <c r="B14" s="6">
        <v>101936</v>
      </c>
      <c r="C14" s="10"/>
      <c r="D14" s="11"/>
      <c r="E14" s="12"/>
      <c r="F14" s="6">
        <v>15000</v>
      </c>
      <c r="G14" s="8"/>
      <c r="H14" s="10"/>
      <c r="I14" s="10"/>
      <c r="J14" s="10"/>
      <c r="K14" s="8"/>
      <c r="N14" s="2"/>
    </row>
    <row r="15" spans="2:14" ht="12.6" thickBot="1" x14ac:dyDescent="0.3">
      <c r="B15" s="6">
        <v>84560</v>
      </c>
      <c r="C15" s="8"/>
      <c r="D15" s="11"/>
      <c r="E15" s="12"/>
      <c r="F15" s="16">
        <f>SQRT(COUNT(B11:B40))</f>
        <v>5.4772255750516612</v>
      </c>
      <c r="G15" s="8"/>
      <c r="H15" s="13"/>
      <c r="I15" s="12"/>
      <c r="J15" s="12"/>
      <c r="K15" s="8"/>
    </row>
    <row r="16" spans="2:14" ht="12.6" thickBot="1" x14ac:dyDescent="0.3">
      <c r="B16" s="6">
        <v>113136</v>
      </c>
      <c r="C16" s="8"/>
      <c r="D16" s="11"/>
      <c r="E16" s="15" t="s">
        <v>13</v>
      </c>
      <c r="F16" s="8"/>
      <c r="G16" s="8"/>
      <c r="H16" s="8"/>
      <c r="I16" s="8"/>
      <c r="J16" s="8"/>
      <c r="K16" s="8"/>
      <c r="N16" s="2"/>
    </row>
    <row r="17" spans="2:11" x14ac:dyDescent="0.2">
      <c r="B17" s="6">
        <v>80740</v>
      </c>
      <c r="C17" s="8"/>
      <c r="D17" s="8"/>
      <c r="E17" s="8"/>
      <c r="F17" s="8"/>
      <c r="G17" s="8"/>
      <c r="H17" s="8"/>
      <c r="I17" s="8"/>
      <c r="J17" s="8"/>
      <c r="K17" s="8"/>
    </row>
    <row r="18" spans="2:11" ht="12" x14ac:dyDescent="0.25">
      <c r="B18" s="6">
        <v>100536</v>
      </c>
      <c r="C18" s="10"/>
      <c r="D18" s="11"/>
      <c r="E18" s="1" t="s">
        <v>16</v>
      </c>
      <c r="F18" s="8"/>
      <c r="G18" s="8"/>
      <c r="H18" s="8"/>
      <c r="I18" s="8"/>
      <c r="J18" s="8"/>
      <c r="K18" s="8"/>
    </row>
    <row r="19" spans="2:11" ht="12" x14ac:dyDescent="0.25">
      <c r="B19" s="6">
        <v>105052</v>
      </c>
      <c r="C19" s="8"/>
      <c r="D19" s="11"/>
      <c r="E19" s="1" t="s">
        <v>14</v>
      </c>
      <c r="F19" s="8"/>
      <c r="G19" s="8"/>
      <c r="H19" s="8"/>
      <c r="I19" s="8"/>
      <c r="J19" s="8"/>
      <c r="K19" s="8"/>
    </row>
    <row r="20" spans="2:11" x14ac:dyDescent="0.2">
      <c r="B20" s="6">
        <v>87201</v>
      </c>
      <c r="C20" s="8"/>
      <c r="D20" s="8"/>
      <c r="F20" s="8"/>
      <c r="G20" s="8"/>
      <c r="H20" s="8"/>
      <c r="I20" s="8"/>
      <c r="J20" s="8"/>
      <c r="K20" s="8"/>
    </row>
    <row r="21" spans="2:11" x14ac:dyDescent="0.2">
      <c r="B21" s="6">
        <v>91986</v>
      </c>
      <c r="C21" s="8"/>
      <c r="D21" s="8"/>
      <c r="E21" s="1" t="s">
        <v>17</v>
      </c>
      <c r="F21" s="8"/>
      <c r="G21" s="8"/>
      <c r="H21" s="8"/>
      <c r="I21" s="8"/>
      <c r="J21" s="8"/>
      <c r="K21" s="8"/>
    </row>
    <row r="22" spans="2:11" x14ac:dyDescent="0.2">
      <c r="B22" s="6">
        <v>94868</v>
      </c>
      <c r="C22" s="8"/>
      <c r="D22" s="8"/>
      <c r="E22" s="8"/>
      <c r="F22" s="8"/>
      <c r="G22" s="8"/>
      <c r="H22" s="8"/>
      <c r="I22" s="8"/>
      <c r="J22" s="8"/>
      <c r="K22" s="8"/>
    </row>
    <row r="23" spans="2:11" x14ac:dyDescent="0.2">
      <c r="B23" s="6">
        <v>90745</v>
      </c>
      <c r="C23" s="8"/>
      <c r="D23" s="8"/>
      <c r="E23" s="8"/>
      <c r="F23" s="8"/>
      <c r="G23" s="8"/>
      <c r="H23" s="8"/>
      <c r="I23" s="8"/>
      <c r="J23" s="8"/>
      <c r="K23" s="8"/>
    </row>
    <row r="24" spans="2:11" x14ac:dyDescent="0.2">
      <c r="B24" s="6">
        <v>102848</v>
      </c>
    </row>
    <row r="25" spans="2:11" x14ac:dyDescent="0.2">
      <c r="B25" s="6">
        <v>85927</v>
      </c>
    </row>
    <row r="26" spans="2:11" x14ac:dyDescent="0.2">
      <c r="B26" s="6">
        <v>112276</v>
      </c>
    </row>
    <row r="27" spans="2:11" x14ac:dyDescent="0.2">
      <c r="B27" s="6">
        <v>108637</v>
      </c>
    </row>
    <row r="28" spans="2:11" x14ac:dyDescent="0.2">
      <c r="B28" s="6">
        <v>96818</v>
      </c>
    </row>
    <row r="29" spans="2:11" x14ac:dyDescent="0.2">
      <c r="B29" s="6">
        <v>92307</v>
      </c>
    </row>
    <row r="30" spans="2:11" x14ac:dyDescent="0.2">
      <c r="B30" s="6">
        <v>114564</v>
      </c>
    </row>
    <row r="31" spans="2:11" x14ac:dyDescent="0.2">
      <c r="B31" s="6">
        <v>109714</v>
      </c>
    </row>
    <row r="32" spans="2:11" x14ac:dyDescent="0.2">
      <c r="B32" s="6">
        <v>108833</v>
      </c>
    </row>
    <row r="33" spans="2:2" x14ac:dyDescent="0.2">
      <c r="B33" s="6">
        <v>115295</v>
      </c>
    </row>
    <row r="34" spans="2:2" x14ac:dyDescent="0.2">
      <c r="B34" s="6">
        <v>89279</v>
      </c>
    </row>
    <row r="35" spans="2:2" x14ac:dyDescent="0.2">
      <c r="B35" s="6">
        <v>81720</v>
      </c>
    </row>
    <row r="36" spans="2:2" x14ac:dyDescent="0.2">
      <c r="B36" s="6">
        <v>89344</v>
      </c>
    </row>
    <row r="37" spans="2:2" x14ac:dyDescent="0.2">
      <c r="B37" s="6">
        <v>114426</v>
      </c>
    </row>
    <row r="38" spans="2:2" x14ac:dyDescent="0.2">
      <c r="B38" s="6">
        <v>90410</v>
      </c>
    </row>
    <row r="39" spans="2:2" x14ac:dyDescent="0.2">
      <c r="B39" s="6">
        <v>95118</v>
      </c>
    </row>
    <row r="40" spans="2:2" x14ac:dyDescent="0.2">
      <c r="B40" s="7">
        <v>113382</v>
      </c>
    </row>
  </sheetData>
  <pageMargins left="0.7" right="0.7" top="0.75" bottom="0.75" header="0.3" footer="0.3"/>
  <pageSetup paperSize="9"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Iliya Valchanov</dc:creator>
  <cp:lastModifiedBy>Segun Longe</cp:lastModifiedBy>
  <cp:lastPrinted>2026-06-12T19:16:40Z</cp:lastPrinted>
  <dcterms:created xsi:type="dcterms:W3CDTF">2017-04-21T12:34:14Z</dcterms:created>
  <dcterms:modified xsi:type="dcterms:W3CDTF">2026-06-12T19:16:43Z</dcterms:modified>
</cp:coreProperties>
</file>