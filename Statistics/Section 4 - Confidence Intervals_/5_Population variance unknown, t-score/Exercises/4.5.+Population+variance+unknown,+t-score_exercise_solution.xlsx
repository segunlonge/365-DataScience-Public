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5_Population variance unknown, t-score_\Exercises\"/>
    </mc:Choice>
  </mc:AlternateContent>
  <xr:revisionPtr revIDLastSave="0" documentId="13_ncr:1_{5779B8A4-2E10-4EF7-BFED-CD8CBB2A90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larie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E14" i="1"/>
  <c r="E12" i="1"/>
  <c r="E13" i="1"/>
  <c r="K15" i="1" l="1"/>
</calcChain>
</file>

<file path=xl/sharedStrings.xml><?xml version="1.0" encoding="utf-8"?>
<sst xmlns="http://schemas.openxmlformats.org/spreadsheetml/2006/main" count="29" uniqueCount="29">
  <si>
    <t>CI low</t>
  </si>
  <si>
    <t>CI high</t>
  </si>
  <si>
    <t>Confidence intervals, t-score</t>
  </si>
  <si>
    <t>Mean</t>
  </si>
  <si>
    <t>St. deviation</t>
  </si>
  <si>
    <t>Standard error</t>
  </si>
  <si>
    <t>T</t>
  </si>
  <si>
    <t>Dataset</t>
  </si>
  <si>
    <r>
      <t>99% CI, t</t>
    </r>
    <r>
      <rPr>
        <b/>
        <vertAlign val="subscript"/>
        <sz val="9"/>
        <color rgb="FF002060"/>
        <rFont val="Arial"/>
        <family val="2"/>
      </rPr>
      <t>8,0.005</t>
    </r>
  </si>
  <si>
    <t>Background</t>
  </si>
  <si>
    <t>You are given the dataset from the lesson</t>
  </si>
  <si>
    <t>Task 1</t>
  </si>
  <si>
    <t>Calculate the mean and the standard error of the dataset</t>
  </si>
  <si>
    <t>Task 2</t>
  </si>
  <si>
    <t>Task 3</t>
  </si>
  <si>
    <t>Find the appropriate statistic, taking into consideration the degrees of freedom (if applicable) for 99% confidence</t>
  </si>
  <si>
    <t>Task 4</t>
  </si>
  <si>
    <t>Find the 99% confidence interval</t>
  </si>
  <si>
    <t>Population variance is unknown</t>
  </si>
  <si>
    <t>We have a small sample</t>
  </si>
  <si>
    <t>We assume that the population is normally distributed</t>
  </si>
  <si>
    <t>The appropriate statistic to use is the t-statistic</t>
  </si>
  <si>
    <t>Task 1:</t>
  </si>
  <si>
    <t>Task 2:</t>
  </si>
  <si>
    <t>Task 3:</t>
  </si>
  <si>
    <t>Task 4:</t>
  </si>
  <si>
    <t>Sample size is 9 =&gt; the degrees of freedom are 8.</t>
  </si>
  <si>
    <t>Solution:</t>
  </si>
  <si>
    <t>Determine which statistic to use for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</si>
</sst>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3" fillId="2" borderId="2" xfId="0" applyFont="1" applyFill="1" applyBorder="1" applyAlignment="1">
      <alignment horizontal="right"/>
    </xf>
    <xf numFmtId="165" fontId="2" fillId="2" borderId="0" xfId="1" applyNumberFormat="1" applyFont="1" applyFill="1"/>
    <xf numFmtId="165" fontId="2" fillId="2" borderId="1" xfId="1" applyNumberFormat="1" applyFont="1" applyFill="1" applyBorder="1"/>
    <xf numFmtId="9" fontId="3" fillId="2" borderId="1" xfId="2" applyFont="1" applyFill="1" applyBorder="1"/>
    <xf numFmtId="0" fontId="3" fillId="2" borderId="0" xfId="0" applyFont="1" applyFill="1" applyAlignment="1">
      <alignment horizontal="right"/>
    </xf>
    <xf numFmtId="0" fontId="6" fillId="2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2"/>
  <sheetViews>
    <sheetView tabSelected="1" zoomScale="110" zoomScaleNormal="110" workbookViewId="0">
      <selection activeCell="N19" sqref="N19"/>
    </sheetView>
  </sheetViews>
  <sheetFormatPr defaultRowHeight="11.4" x14ac:dyDescent="0.2"/>
  <cols>
    <col min="1" max="1" width="2" style="1" customWidth="1"/>
    <col min="2" max="2" width="10.77734375" style="1" bestFit="1" customWidth="1"/>
    <col min="3" max="3" width="8.88671875" style="1"/>
    <col min="4" max="4" width="12.33203125" style="1" bestFit="1" customWidth="1"/>
    <col min="5" max="5" width="9.88671875" style="1" bestFit="1" customWidth="1"/>
    <col min="6" max="6" width="12.6640625" style="1" bestFit="1" customWidth="1"/>
    <col min="7" max="7" width="8.88671875" style="1"/>
    <col min="8" max="8" width="7.6640625" style="1" bestFit="1" customWidth="1"/>
    <col min="9" max="9" width="8.5546875" style="1" bestFit="1" customWidth="1"/>
    <col min="10" max="16384" width="8.88671875" style="1"/>
  </cols>
  <sheetData>
    <row r="1" spans="2:11" ht="15.6" x14ac:dyDescent="0.3">
      <c r="B1" s="4" t="s">
        <v>2</v>
      </c>
    </row>
    <row r="3" spans="2:11" ht="12" x14ac:dyDescent="0.25">
      <c r="B3" s="3" t="s">
        <v>9</v>
      </c>
      <c r="C3" s="1" t="s">
        <v>10</v>
      </c>
    </row>
    <row r="4" spans="2:11" ht="12" x14ac:dyDescent="0.25">
      <c r="B4" s="3" t="s">
        <v>11</v>
      </c>
      <c r="C4" s="1" t="s">
        <v>12</v>
      </c>
    </row>
    <row r="5" spans="2:11" ht="12" x14ac:dyDescent="0.25">
      <c r="B5" s="3" t="s">
        <v>13</v>
      </c>
      <c r="C5" s="1" t="s">
        <v>28</v>
      </c>
    </row>
    <row r="6" spans="2:11" ht="12" x14ac:dyDescent="0.25">
      <c r="B6" s="3" t="s">
        <v>14</v>
      </c>
      <c r="C6" s="1" t="s">
        <v>15</v>
      </c>
    </row>
    <row r="7" spans="2:11" ht="12" x14ac:dyDescent="0.25">
      <c r="B7" s="3" t="s">
        <v>16</v>
      </c>
      <c r="C7" s="1" t="s">
        <v>17</v>
      </c>
    </row>
    <row r="8" spans="2:11" ht="12" x14ac:dyDescent="0.25">
      <c r="B8" s="3"/>
    </row>
    <row r="9" spans="2:11" ht="12" x14ac:dyDescent="0.25">
      <c r="B9" s="3" t="s">
        <v>27</v>
      </c>
    </row>
    <row r="10" spans="2:11" ht="12" x14ac:dyDescent="0.25">
      <c r="B10" s="3"/>
    </row>
    <row r="11" spans="2:11" ht="12.6" thickBot="1" x14ac:dyDescent="0.3">
      <c r="B11" s="5" t="s">
        <v>7</v>
      </c>
    </row>
    <row r="12" spans="2:11" ht="12" x14ac:dyDescent="0.25">
      <c r="B12" s="6">
        <v>78000</v>
      </c>
      <c r="C12" s="9" t="s">
        <v>22</v>
      </c>
      <c r="D12" s="3" t="s">
        <v>3</v>
      </c>
      <c r="E12" s="6">
        <f>AVERAGE(B12:B20)</f>
        <v>92533.333333333328</v>
      </c>
      <c r="I12" s="3" t="s">
        <v>25</v>
      </c>
    </row>
    <row r="13" spans="2:11" ht="12" x14ac:dyDescent="0.25">
      <c r="B13" s="6">
        <v>90000</v>
      </c>
      <c r="D13" s="3" t="s">
        <v>4</v>
      </c>
      <c r="E13" s="6">
        <f>_xlfn.STDEV.S(B12:B20)</f>
        <v>13931.887883556916</v>
      </c>
    </row>
    <row r="14" spans="2:11" ht="12.6" thickBot="1" x14ac:dyDescent="0.3">
      <c r="B14" s="6">
        <v>75000</v>
      </c>
      <c r="D14" s="3" t="s">
        <v>5</v>
      </c>
      <c r="E14" s="6">
        <f>E13/3</f>
        <v>4643.9626278523056</v>
      </c>
      <c r="I14" s="5" t="s">
        <v>6</v>
      </c>
      <c r="J14" s="5" t="s">
        <v>0</v>
      </c>
      <c r="K14" s="5" t="s">
        <v>1</v>
      </c>
    </row>
    <row r="15" spans="2:11" ht="12" x14ac:dyDescent="0.25">
      <c r="B15" s="6">
        <v>117000</v>
      </c>
      <c r="C15" s="9"/>
      <c r="I15" s="8">
        <v>0.99</v>
      </c>
      <c r="J15" s="7">
        <f>E12-E21*E14</f>
        <v>76952.838716888844</v>
      </c>
      <c r="K15" s="7">
        <f>E12+E21*E14</f>
        <v>108113.82794977781</v>
      </c>
    </row>
    <row r="16" spans="2:11" ht="12" x14ac:dyDescent="0.25">
      <c r="B16" s="6">
        <v>105000</v>
      </c>
      <c r="C16" s="9" t="s">
        <v>23</v>
      </c>
      <c r="D16" s="10" t="s">
        <v>18</v>
      </c>
    </row>
    <row r="17" spans="2:8" x14ac:dyDescent="0.2">
      <c r="B17" s="6">
        <v>96000</v>
      </c>
      <c r="D17" s="1" t="s">
        <v>19</v>
      </c>
    </row>
    <row r="18" spans="2:8" x14ac:dyDescent="0.2">
      <c r="B18" s="6">
        <v>89500</v>
      </c>
      <c r="D18" s="1" t="s">
        <v>20</v>
      </c>
      <c r="H18" s="2"/>
    </row>
    <row r="19" spans="2:8" x14ac:dyDescent="0.2">
      <c r="B19" s="6">
        <v>102300</v>
      </c>
      <c r="D19" s="1" t="s">
        <v>21</v>
      </c>
    </row>
    <row r="20" spans="2:8" x14ac:dyDescent="0.2">
      <c r="B20" s="7">
        <v>80000</v>
      </c>
    </row>
    <row r="21" spans="2:8" ht="13.2" x14ac:dyDescent="0.3">
      <c r="C21" s="9" t="s">
        <v>24</v>
      </c>
      <c r="D21" s="3" t="s">
        <v>8</v>
      </c>
      <c r="E21" s="1">
        <v>3.355</v>
      </c>
    </row>
    <row r="22" spans="2:8" x14ac:dyDescent="0.2">
      <c r="D22" s="1" t="s">
        <v>26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2026-06-29T16:45:03Z</cp:lastPrinted>
  <dcterms:created xsi:type="dcterms:W3CDTF">2017-04-21T12:34:14Z</dcterms:created>
  <dcterms:modified xsi:type="dcterms:W3CDTF">2026-06-29T16:45:40Z</dcterms:modified>
</cp:coreProperties>
</file>