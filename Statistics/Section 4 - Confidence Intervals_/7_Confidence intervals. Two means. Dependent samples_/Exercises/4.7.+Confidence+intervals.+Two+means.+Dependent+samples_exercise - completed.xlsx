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3F879C5-B37D-4BFE-B370-BFB074EE93A1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t-table" sheetId="5" r:id="rId1"/>
    <sheet name="Data in lbs" sheetId="1" r:id="rId2"/>
    <sheet name="Data in kg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4" l="1"/>
  <c r="I26" i="4"/>
  <c r="H20" i="4"/>
  <c r="H16" i="4" l="1"/>
  <c r="H15" i="4"/>
  <c r="E24" i="4"/>
  <c r="E23" i="4"/>
  <c r="E22" i="4"/>
  <c r="E21" i="4"/>
  <c r="E20" i="4"/>
  <c r="E19" i="4"/>
  <c r="E18" i="4"/>
  <c r="E17" i="4"/>
  <c r="E16" i="4"/>
  <c r="E15" i="4"/>
  <c r="E24" i="1" l="1"/>
  <c r="E16" i="1"/>
  <c r="E20" i="1"/>
  <c r="E22" i="1"/>
  <c r="E17" i="1"/>
  <c r="E18" i="1"/>
  <c r="E19" i="1"/>
  <c r="E21" i="1"/>
  <c r="E23" i="1"/>
  <c r="E15" i="1"/>
</calcChain>
</file>

<file path=xl/sharedStrings.xml><?xml version="1.0" encoding="utf-8"?>
<sst xmlns="http://schemas.openxmlformats.org/spreadsheetml/2006/main" count="54" uniqueCount="39">
  <si>
    <t>Confidence interval for difference of two means, dependent samples</t>
  </si>
  <si>
    <t>Difference</t>
  </si>
  <si>
    <t>Background</t>
  </si>
  <si>
    <t>The 365 team has developed a diet and an exercise program for losing weight. It seems that it works like a charm. However, you are interested in how much weight are you likely to lose.</t>
  </si>
  <si>
    <t>You have a sample of 10 people who have already completed the 12-week program.</t>
  </si>
  <si>
    <t>Subject</t>
  </si>
  <si>
    <t>Task 1</t>
  </si>
  <si>
    <t>Calculate the mean and standard deviation of the dataset</t>
  </si>
  <si>
    <t>Task 2</t>
  </si>
  <si>
    <t>Determine the appropriate statistic to use</t>
  </si>
  <si>
    <t>Task 3</t>
  </si>
  <si>
    <t>Calculate the 95% confidence interval</t>
  </si>
  <si>
    <t>Task 4</t>
  </si>
  <si>
    <t>Interpret the result</t>
  </si>
  <si>
    <t>Weight before (lbs)</t>
  </si>
  <si>
    <t>Weight after (lbs)</t>
  </si>
  <si>
    <t>Weight loss example, lbs</t>
  </si>
  <si>
    <t>Weight loss example, kg</t>
  </si>
  <si>
    <t>You have a sample of 10 people who have already completed the 12-week program. The second sheet in shows the data in kg, if you feel more comfortable using kg as a unit of measurement</t>
  </si>
  <si>
    <t>Optional</t>
  </si>
  <si>
    <t xml:space="preserve">You can try to calculate the 90% and 99% confidence intervals to see the difference. There is no solution provided for these cases. </t>
  </si>
  <si>
    <t>Weight before (kg)</t>
  </si>
  <si>
    <t>Weight after (kg)</t>
  </si>
  <si>
    <t>Mean</t>
  </si>
  <si>
    <t>St. Dev</t>
  </si>
  <si>
    <t>Statistic</t>
  </si>
  <si>
    <t>T-test</t>
  </si>
  <si>
    <t>95% Confidence Interval</t>
  </si>
  <si>
    <t>Student's T distribution</t>
  </si>
  <si>
    <r>
      <rPr>
        <b/>
        <i/>
        <sz val="9"/>
        <color rgb="FF002060"/>
        <rFont val="Arial"/>
        <family val="2"/>
      </rPr>
      <t>t</t>
    </r>
    <r>
      <rPr>
        <b/>
        <sz val="9"/>
        <color rgb="FF002060"/>
        <rFont val="Arial"/>
        <family val="2"/>
      </rPr>
      <t>-table</t>
    </r>
  </si>
  <si>
    <t>The table summarizes the t-distribution critical values. The rows represent the degrees of freedom, while the columns - common alphas.</t>
  </si>
  <si>
    <r>
      <t xml:space="preserve">d.f. / </t>
    </r>
    <r>
      <rPr>
        <b/>
        <sz val="9"/>
        <color rgb="FF002060"/>
        <rFont val="Calibri"/>
        <family val="2"/>
      </rPr>
      <t>α</t>
    </r>
  </si>
  <si>
    <t>inf.</t>
  </si>
  <si>
    <t>CI*</t>
  </si>
  <si>
    <t>*CI stands for confidence intervals</t>
  </si>
  <si>
    <t>T</t>
  </si>
  <si>
    <t>CI low</t>
  </si>
  <si>
    <t>CI high</t>
  </si>
  <si>
    <t>(10-1) degrees of freedom@0.025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</si>
</sst>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  <font>
      <b/>
      <i/>
      <sz val="9"/>
      <color rgb="FF002060"/>
      <name val="Arial"/>
      <family val="2"/>
    </font>
    <font>
      <b/>
      <sz val="9"/>
      <color rgb="FF002060"/>
      <name val="Calibri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2" fontId="1" fillId="2" borderId="0" xfId="0" applyNumberFormat="1" applyFont="1" applyFill="1"/>
    <xf numFmtId="2" fontId="1" fillId="2" borderId="1" xfId="0" applyNumberFormat="1" applyFont="1" applyFill="1" applyBorder="1"/>
    <xf numFmtId="0" fontId="3" fillId="2" borderId="2" xfId="0" applyFont="1" applyFill="1" applyBorder="1" applyAlignment="1">
      <alignment horizontal="right"/>
    </xf>
    <xf numFmtId="2" fontId="1" fillId="2" borderId="4" xfId="0" applyNumberFormat="1" applyFont="1" applyFill="1" applyBorder="1"/>
    <xf numFmtId="2" fontId="1" fillId="2" borderId="3" xfId="0" applyNumberFormat="1" applyFont="1" applyFill="1" applyBorder="1"/>
    <xf numFmtId="0" fontId="1" fillId="2" borderId="0" xfId="0" applyFont="1" applyFill="1" applyBorder="1"/>
    <xf numFmtId="2" fontId="1" fillId="2" borderId="0" xfId="0" applyNumberFormat="1" applyFont="1" applyFill="1" applyBorder="1"/>
    <xf numFmtId="0" fontId="3" fillId="2" borderId="0" xfId="0" applyFont="1" applyFill="1" applyBorder="1" applyAlignment="1">
      <alignment horizontal="right"/>
    </xf>
    <xf numFmtId="0" fontId="4" fillId="2" borderId="0" xfId="0" applyFont="1" applyFill="1"/>
    <xf numFmtId="9" fontId="3" fillId="2" borderId="0" xfId="0" applyNumberFormat="1" applyFont="1" applyFill="1" applyBorder="1"/>
    <xf numFmtId="0" fontId="3" fillId="2" borderId="0" xfId="0" applyFont="1" applyFill="1" applyBorder="1"/>
    <xf numFmtId="0" fontId="4" fillId="2" borderId="0" xfId="0" applyFont="1" applyFill="1" applyBorder="1"/>
    <xf numFmtId="0" fontId="3" fillId="2" borderId="5" xfId="0" applyFont="1" applyFill="1" applyBorder="1"/>
    <xf numFmtId="0" fontId="3" fillId="2" borderId="2" xfId="0" applyFont="1" applyFill="1" applyBorder="1"/>
    <xf numFmtId="0" fontId="1" fillId="2" borderId="4" xfId="0" applyFont="1" applyFill="1" applyBorder="1"/>
    <xf numFmtId="164" fontId="1" fillId="2" borderId="0" xfId="0" applyNumberFormat="1" applyFont="1" applyFill="1"/>
    <xf numFmtId="0" fontId="1" fillId="2" borderId="5" xfId="0" applyFont="1" applyFill="1" applyBorder="1" applyAlignment="1">
      <alignment horizontal="right"/>
    </xf>
    <xf numFmtId="164" fontId="1" fillId="2" borderId="2" xfId="0" applyNumberFormat="1" applyFont="1" applyFill="1" applyBorder="1"/>
    <xf numFmtId="0" fontId="7" fillId="2" borderId="6" xfId="0" applyFont="1" applyFill="1" applyBorder="1"/>
    <xf numFmtId="9" fontId="1" fillId="2" borderId="7" xfId="0" applyNumberFormat="1" applyFont="1" applyFill="1" applyBorder="1"/>
    <xf numFmtId="164" fontId="1" fillId="3" borderId="0" xfId="0" applyNumberFormat="1" applyFont="1" applyFill="1"/>
    <xf numFmtId="164" fontId="1" fillId="3" borderId="2" xfId="0" applyNumberFormat="1" applyFont="1" applyFill="1" applyBorder="1"/>
    <xf numFmtId="9" fontId="1" fillId="3" borderId="7" xfId="0" applyNumberFormat="1" applyFont="1" applyFill="1" applyBorder="1"/>
    <xf numFmtId="0" fontId="1" fillId="3" borderId="4" xfId="0" applyFont="1" applyFill="1" applyBorder="1"/>
    <xf numFmtId="0" fontId="1" fillId="0" borderId="4" xfId="0" applyFont="1" applyFill="1" applyBorder="1"/>
    <xf numFmtId="164" fontId="1" fillId="0" borderId="0" xfId="0" applyNumberFormat="1" applyFont="1" applyFill="1"/>
    <xf numFmtId="0" fontId="1" fillId="2" borderId="8" xfId="0" applyFont="1" applyFill="1" applyBorder="1"/>
    <xf numFmtId="9" fontId="1" fillId="2" borderId="8" xfId="0" applyNumberFormat="1" applyFont="1" applyFill="1" applyBorder="1"/>
    <xf numFmtId="2" fontId="1" fillId="2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8062-2EDD-45E5-9227-24891D4EC4AC}">
  <dimension ref="B1:G45"/>
  <sheetViews>
    <sheetView zoomScaleNormal="100" workbookViewId="0">
      <selection activeCell="E15" sqref="E15"/>
    </sheetView>
  </sheetViews>
  <sheetFormatPr defaultRowHeight="11.4" x14ac:dyDescent="0.2"/>
  <cols>
    <col min="1" max="1" width="2" style="1" customWidth="1"/>
    <col min="2" max="2" width="6" style="1" customWidth="1"/>
    <col min="3" max="4" width="5.21875" style="1" bestFit="1" customWidth="1"/>
    <col min="5" max="7" width="6.109375" style="1" bestFit="1" customWidth="1"/>
    <col min="8" max="16384" width="8.88671875" style="1"/>
  </cols>
  <sheetData>
    <row r="1" spans="2:7" ht="15.6" x14ac:dyDescent="0.3">
      <c r="B1" s="2" t="s">
        <v>28</v>
      </c>
    </row>
    <row r="2" spans="2:7" ht="12" x14ac:dyDescent="0.25">
      <c r="B2" s="3" t="s">
        <v>29</v>
      </c>
    </row>
    <row r="3" spans="2:7" ht="12" x14ac:dyDescent="0.25">
      <c r="B3" s="3"/>
    </row>
    <row r="4" spans="2:7" ht="12" x14ac:dyDescent="0.25">
      <c r="B4" s="3" t="s">
        <v>30</v>
      </c>
    </row>
    <row r="5" spans="2:7" ht="12" x14ac:dyDescent="0.25">
      <c r="B5" s="3"/>
    </row>
    <row r="6" spans="2:7" ht="12.6" thickBot="1" x14ac:dyDescent="0.3">
      <c r="B6" s="17" t="s">
        <v>31</v>
      </c>
      <c r="C6" s="18">
        <v>0.1</v>
      </c>
      <c r="D6" s="18">
        <v>0.05</v>
      </c>
      <c r="E6" s="18">
        <v>2.5000000000000001E-2</v>
      </c>
      <c r="F6" s="18">
        <v>0.01</v>
      </c>
      <c r="G6" s="18">
        <v>5.0000000000000001E-3</v>
      </c>
    </row>
    <row r="7" spans="2:7" x14ac:dyDescent="0.2">
      <c r="B7" s="19">
        <v>1</v>
      </c>
      <c r="C7" s="20">
        <v>3.0779999999999998</v>
      </c>
      <c r="D7" s="20">
        <v>6.3140000000000001</v>
      </c>
      <c r="E7" s="25">
        <v>12.706</v>
      </c>
      <c r="F7" s="20">
        <v>31.821000000000002</v>
      </c>
      <c r="G7" s="20">
        <v>63.656999999999996</v>
      </c>
    </row>
    <row r="8" spans="2:7" x14ac:dyDescent="0.2">
      <c r="B8" s="19">
        <v>2</v>
      </c>
      <c r="C8" s="20">
        <v>1.8859999999999999</v>
      </c>
      <c r="D8" s="20">
        <v>2.92</v>
      </c>
      <c r="E8" s="25">
        <v>4.3029999999999999</v>
      </c>
      <c r="F8" s="20">
        <v>6.9649999999999999</v>
      </c>
      <c r="G8" s="20">
        <v>9.9250000000000007</v>
      </c>
    </row>
    <row r="9" spans="2:7" x14ac:dyDescent="0.2">
      <c r="B9" s="19">
        <v>3</v>
      </c>
      <c r="C9" s="20">
        <v>1.6379999999999999</v>
      </c>
      <c r="D9" s="20">
        <v>2.3530000000000002</v>
      </c>
      <c r="E9" s="25">
        <v>3.1819999999999999</v>
      </c>
      <c r="F9" s="20">
        <v>4.5410000000000004</v>
      </c>
      <c r="G9" s="20">
        <v>5.8410000000000002</v>
      </c>
    </row>
    <row r="10" spans="2:7" x14ac:dyDescent="0.2">
      <c r="B10" s="19">
        <v>4</v>
      </c>
      <c r="C10" s="20">
        <v>1.5329999999999999</v>
      </c>
      <c r="D10" s="20">
        <v>2.1320000000000001</v>
      </c>
      <c r="E10" s="25">
        <v>2.7759999999999998</v>
      </c>
      <c r="F10" s="20">
        <v>3.7469999999999999</v>
      </c>
      <c r="G10" s="20">
        <v>4.6040000000000001</v>
      </c>
    </row>
    <row r="11" spans="2:7" x14ac:dyDescent="0.2">
      <c r="B11" s="19">
        <v>5</v>
      </c>
      <c r="C11" s="20">
        <v>1.476</v>
      </c>
      <c r="D11" s="20">
        <v>2.0150000000000001</v>
      </c>
      <c r="E11" s="25">
        <v>2.5710000000000002</v>
      </c>
      <c r="F11" s="20">
        <v>3.3650000000000002</v>
      </c>
      <c r="G11" s="20">
        <v>4.032</v>
      </c>
    </row>
    <row r="12" spans="2:7" x14ac:dyDescent="0.2">
      <c r="B12" s="19">
        <v>6</v>
      </c>
      <c r="C12" s="20">
        <v>1.44</v>
      </c>
      <c r="D12" s="20">
        <v>1.9430000000000001</v>
      </c>
      <c r="E12" s="25">
        <v>2.4470000000000001</v>
      </c>
      <c r="F12" s="20">
        <v>3.1429999999999998</v>
      </c>
      <c r="G12" s="20">
        <v>3.7069999999999999</v>
      </c>
    </row>
    <row r="13" spans="2:7" x14ac:dyDescent="0.2">
      <c r="B13" s="19">
        <v>7</v>
      </c>
      <c r="C13" s="20">
        <v>1.415</v>
      </c>
      <c r="D13" s="20">
        <v>1.895</v>
      </c>
      <c r="E13" s="25">
        <v>2.3650000000000002</v>
      </c>
      <c r="F13" s="20">
        <v>2.9980000000000002</v>
      </c>
      <c r="G13" s="20">
        <v>3.4990000000000001</v>
      </c>
    </row>
    <row r="14" spans="2:7" x14ac:dyDescent="0.2">
      <c r="B14" s="19">
        <v>8</v>
      </c>
      <c r="C14" s="20">
        <v>1.397</v>
      </c>
      <c r="D14" s="20">
        <v>1.86</v>
      </c>
      <c r="E14" s="25">
        <v>2.306</v>
      </c>
      <c r="F14" s="20">
        <v>2.8959999999999999</v>
      </c>
      <c r="G14" s="20">
        <v>3.355</v>
      </c>
    </row>
    <row r="15" spans="2:7" x14ac:dyDescent="0.2">
      <c r="B15" s="28">
        <v>9</v>
      </c>
      <c r="C15" s="25">
        <v>1.383</v>
      </c>
      <c r="D15" s="25">
        <v>1.833</v>
      </c>
      <c r="E15" s="25">
        <v>2.262</v>
      </c>
      <c r="F15" s="25">
        <v>2.8210000000000002</v>
      </c>
      <c r="G15" s="25">
        <v>3.25</v>
      </c>
    </row>
    <row r="16" spans="2:7" x14ac:dyDescent="0.2">
      <c r="B16" s="29">
        <v>10</v>
      </c>
      <c r="C16" s="30">
        <v>1.3720000000000001</v>
      </c>
      <c r="D16" s="30">
        <v>1.8120000000000001</v>
      </c>
      <c r="E16" s="25">
        <v>2.2280000000000002</v>
      </c>
      <c r="F16" s="30">
        <v>2.7639999999999998</v>
      </c>
      <c r="G16" s="30">
        <v>3.169</v>
      </c>
    </row>
    <row r="17" spans="2:7" x14ac:dyDescent="0.2">
      <c r="B17" s="19">
        <v>11</v>
      </c>
      <c r="C17" s="20">
        <v>1.363</v>
      </c>
      <c r="D17" s="20">
        <v>1.796</v>
      </c>
      <c r="E17" s="25">
        <v>2.2010000000000001</v>
      </c>
      <c r="F17" s="20">
        <v>2.718</v>
      </c>
      <c r="G17" s="20">
        <v>3.1059999999999999</v>
      </c>
    </row>
    <row r="18" spans="2:7" x14ac:dyDescent="0.2">
      <c r="B18" s="19">
        <v>12</v>
      </c>
      <c r="C18" s="20">
        <v>1.3560000000000001</v>
      </c>
      <c r="D18" s="20">
        <v>1.782</v>
      </c>
      <c r="E18" s="25">
        <v>2.1789999999999998</v>
      </c>
      <c r="F18" s="20">
        <v>2.681</v>
      </c>
      <c r="G18" s="20">
        <v>3.0550000000000002</v>
      </c>
    </row>
    <row r="19" spans="2:7" x14ac:dyDescent="0.2">
      <c r="B19" s="19">
        <v>13</v>
      </c>
      <c r="C19" s="20">
        <v>1.35</v>
      </c>
      <c r="D19" s="20">
        <v>1.7709999999999999</v>
      </c>
      <c r="E19" s="25">
        <v>2.16</v>
      </c>
      <c r="F19" s="20">
        <v>2.65</v>
      </c>
      <c r="G19" s="20">
        <v>3.012</v>
      </c>
    </row>
    <row r="20" spans="2:7" x14ac:dyDescent="0.2">
      <c r="B20" s="19">
        <v>14</v>
      </c>
      <c r="C20" s="20">
        <v>1.345</v>
      </c>
      <c r="D20" s="20">
        <v>1.7609999999999999</v>
      </c>
      <c r="E20" s="25">
        <v>2.145</v>
      </c>
      <c r="F20" s="20">
        <v>2.6240000000000001</v>
      </c>
      <c r="G20" s="20">
        <v>2.9769999999999999</v>
      </c>
    </row>
    <row r="21" spans="2:7" x14ac:dyDescent="0.2">
      <c r="B21" s="19">
        <v>15</v>
      </c>
      <c r="C21" s="20">
        <v>1.341</v>
      </c>
      <c r="D21" s="20">
        <v>1.7529999999999999</v>
      </c>
      <c r="E21" s="25">
        <v>2.1309999999999998</v>
      </c>
      <c r="F21" s="20">
        <v>2.6019999999999999</v>
      </c>
      <c r="G21" s="20">
        <v>2.9470000000000001</v>
      </c>
    </row>
    <row r="22" spans="2:7" x14ac:dyDescent="0.2">
      <c r="B22" s="19">
        <v>16</v>
      </c>
      <c r="C22" s="20">
        <v>1.337</v>
      </c>
      <c r="D22" s="20">
        <v>1.746</v>
      </c>
      <c r="E22" s="25">
        <v>2.12</v>
      </c>
      <c r="F22" s="20">
        <v>2.5830000000000002</v>
      </c>
      <c r="G22" s="20">
        <v>2.9209999999999998</v>
      </c>
    </row>
    <row r="23" spans="2:7" x14ac:dyDescent="0.2">
      <c r="B23" s="19">
        <v>17</v>
      </c>
      <c r="C23" s="20">
        <v>1.333</v>
      </c>
      <c r="D23" s="20">
        <v>1.74</v>
      </c>
      <c r="E23" s="25">
        <v>2.11</v>
      </c>
      <c r="F23" s="20">
        <v>2.5670000000000002</v>
      </c>
      <c r="G23" s="20">
        <v>2.8980000000000001</v>
      </c>
    </row>
    <row r="24" spans="2:7" x14ac:dyDescent="0.2">
      <c r="B24" s="19">
        <v>18</v>
      </c>
      <c r="C24" s="20">
        <v>1.33</v>
      </c>
      <c r="D24" s="20">
        <v>1.734</v>
      </c>
      <c r="E24" s="25">
        <v>2.101</v>
      </c>
      <c r="F24" s="20">
        <v>2.552</v>
      </c>
      <c r="G24" s="20">
        <v>2.8780000000000001</v>
      </c>
    </row>
    <row r="25" spans="2:7" x14ac:dyDescent="0.2">
      <c r="B25" s="19">
        <v>19</v>
      </c>
      <c r="C25" s="20">
        <v>1.3280000000000001</v>
      </c>
      <c r="D25" s="20">
        <v>1.7290000000000001</v>
      </c>
      <c r="E25" s="25">
        <v>2.093</v>
      </c>
      <c r="F25" s="20">
        <v>2.5390000000000001</v>
      </c>
      <c r="G25" s="20">
        <v>2.8610000000000002</v>
      </c>
    </row>
    <row r="26" spans="2:7" x14ac:dyDescent="0.2">
      <c r="B26" s="19">
        <v>20</v>
      </c>
      <c r="C26" s="20">
        <v>1.325</v>
      </c>
      <c r="D26" s="20">
        <v>1.7250000000000001</v>
      </c>
      <c r="E26" s="25">
        <v>2.0859999999999999</v>
      </c>
      <c r="F26" s="20">
        <v>2.528</v>
      </c>
      <c r="G26" s="20">
        <v>2.8450000000000002</v>
      </c>
    </row>
    <row r="27" spans="2:7" x14ac:dyDescent="0.2">
      <c r="B27" s="19">
        <v>21</v>
      </c>
      <c r="C27" s="20">
        <v>1.323</v>
      </c>
      <c r="D27" s="20">
        <v>1.7210000000000001</v>
      </c>
      <c r="E27" s="25">
        <v>2.08</v>
      </c>
      <c r="F27" s="20">
        <v>2.5179999999999998</v>
      </c>
      <c r="G27" s="20">
        <v>2.831</v>
      </c>
    </row>
    <row r="28" spans="2:7" x14ac:dyDescent="0.2">
      <c r="B28" s="19">
        <v>22</v>
      </c>
      <c r="C28" s="20">
        <v>1.321</v>
      </c>
      <c r="D28" s="20">
        <v>1.7170000000000001</v>
      </c>
      <c r="E28" s="25">
        <v>2.0739999999999998</v>
      </c>
      <c r="F28" s="20">
        <v>2.508</v>
      </c>
      <c r="G28" s="20">
        <v>2.819</v>
      </c>
    </row>
    <row r="29" spans="2:7" x14ac:dyDescent="0.2">
      <c r="B29" s="19">
        <v>23</v>
      </c>
      <c r="C29" s="20">
        <v>1.319</v>
      </c>
      <c r="D29" s="20">
        <v>1.714</v>
      </c>
      <c r="E29" s="25">
        <v>2.069</v>
      </c>
      <c r="F29" s="20">
        <v>2.5</v>
      </c>
      <c r="G29" s="20">
        <v>2.8069999999999999</v>
      </c>
    </row>
    <row r="30" spans="2:7" x14ac:dyDescent="0.2">
      <c r="B30" s="19">
        <v>24</v>
      </c>
      <c r="C30" s="20">
        <v>1.3180000000000001</v>
      </c>
      <c r="D30" s="20">
        <v>1.7110000000000001</v>
      </c>
      <c r="E30" s="25">
        <v>2.0640000000000001</v>
      </c>
      <c r="F30" s="20">
        <v>2.492</v>
      </c>
      <c r="G30" s="20">
        <v>2.7970000000000002</v>
      </c>
    </row>
    <row r="31" spans="2:7" x14ac:dyDescent="0.2">
      <c r="B31" s="19">
        <v>25</v>
      </c>
      <c r="C31" s="20">
        <v>1.3160000000000001</v>
      </c>
      <c r="D31" s="20">
        <v>1.708</v>
      </c>
      <c r="E31" s="25">
        <v>2.06</v>
      </c>
      <c r="F31" s="20">
        <v>2.4849999999999999</v>
      </c>
      <c r="G31" s="20">
        <v>2.7869999999999999</v>
      </c>
    </row>
    <row r="32" spans="2:7" x14ac:dyDescent="0.2">
      <c r="B32" s="19">
        <v>26</v>
      </c>
      <c r="C32" s="20">
        <v>1.3149999999999999</v>
      </c>
      <c r="D32" s="20">
        <v>1.706</v>
      </c>
      <c r="E32" s="25">
        <v>2.056</v>
      </c>
      <c r="F32" s="20">
        <v>2.4790000000000001</v>
      </c>
      <c r="G32" s="20">
        <v>2.7789999999999999</v>
      </c>
    </row>
    <row r="33" spans="2:7" x14ac:dyDescent="0.2">
      <c r="B33" s="19">
        <v>27</v>
      </c>
      <c r="C33" s="20">
        <v>1.3140000000000001</v>
      </c>
      <c r="D33" s="20">
        <v>1.7030000000000001</v>
      </c>
      <c r="E33" s="25">
        <v>2.052</v>
      </c>
      <c r="F33" s="20">
        <v>2.4729999999999999</v>
      </c>
      <c r="G33" s="20">
        <v>2.7709999999999999</v>
      </c>
    </row>
    <row r="34" spans="2:7" x14ac:dyDescent="0.2">
      <c r="B34" s="19">
        <v>28</v>
      </c>
      <c r="C34" s="20">
        <v>1.3129999999999999</v>
      </c>
      <c r="D34" s="20">
        <v>1.7010000000000001</v>
      </c>
      <c r="E34" s="25">
        <v>2.048</v>
      </c>
      <c r="F34" s="20">
        <v>2.4670000000000001</v>
      </c>
      <c r="G34" s="20">
        <v>2.7629999999999999</v>
      </c>
    </row>
    <row r="35" spans="2:7" x14ac:dyDescent="0.2">
      <c r="B35" s="19">
        <v>29</v>
      </c>
      <c r="C35" s="20">
        <v>1.3109999999999999</v>
      </c>
      <c r="D35" s="20">
        <v>1.6990000000000001</v>
      </c>
      <c r="E35" s="25">
        <v>2.0449999999999999</v>
      </c>
      <c r="F35" s="20">
        <v>2.4620000000000002</v>
      </c>
      <c r="G35" s="20">
        <v>2.7559999999999998</v>
      </c>
    </row>
    <row r="36" spans="2:7" x14ac:dyDescent="0.2">
      <c r="B36" s="19">
        <v>30</v>
      </c>
      <c r="C36" s="20">
        <v>1.31</v>
      </c>
      <c r="D36" s="20">
        <v>1.6970000000000001</v>
      </c>
      <c r="E36" s="25">
        <v>2.0419999999999998</v>
      </c>
      <c r="F36" s="20">
        <v>2.4569999999999999</v>
      </c>
      <c r="G36" s="20">
        <v>2.75</v>
      </c>
    </row>
    <row r="37" spans="2:7" x14ac:dyDescent="0.2">
      <c r="B37" s="19">
        <v>35</v>
      </c>
      <c r="C37" s="20">
        <v>1.306</v>
      </c>
      <c r="D37" s="20">
        <v>1.69</v>
      </c>
      <c r="E37" s="25">
        <v>2.0299999999999998</v>
      </c>
      <c r="F37" s="20">
        <v>2.4380000000000002</v>
      </c>
      <c r="G37" s="20">
        <v>2.7240000000000002</v>
      </c>
    </row>
    <row r="38" spans="2:7" x14ac:dyDescent="0.2">
      <c r="B38" s="19">
        <v>40</v>
      </c>
      <c r="C38" s="20">
        <v>1.3029999999999999</v>
      </c>
      <c r="D38" s="20">
        <v>1.6839999999999999</v>
      </c>
      <c r="E38" s="25">
        <v>2.0209999999999999</v>
      </c>
      <c r="F38" s="20">
        <v>2.423</v>
      </c>
      <c r="G38" s="20">
        <v>2.7040000000000002</v>
      </c>
    </row>
    <row r="39" spans="2:7" x14ac:dyDescent="0.2">
      <c r="B39" s="19">
        <v>50</v>
      </c>
      <c r="C39" s="20">
        <v>1.2989999999999999</v>
      </c>
      <c r="D39" s="20">
        <v>1.6759999999999999</v>
      </c>
      <c r="E39" s="25">
        <v>2.0089999999999999</v>
      </c>
      <c r="F39" s="20">
        <v>2.403</v>
      </c>
      <c r="G39" s="20">
        <v>2.6779999999999999</v>
      </c>
    </row>
    <row r="40" spans="2:7" x14ac:dyDescent="0.2">
      <c r="B40" s="19">
        <v>60</v>
      </c>
      <c r="C40" s="20">
        <v>1.296</v>
      </c>
      <c r="D40" s="20">
        <v>1.671</v>
      </c>
      <c r="E40" s="25">
        <v>2</v>
      </c>
      <c r="F40" s="20">
        <v>2.39</v>
      </c>
      <c r="G40" s="20">
        <v>2.66</v>
      </c>
    </row>
    <row r="41" spans="2:7" x14ac:dyDescent="0.2">
      <c r="B41" s="19">
        <v>120</v>
      </c>
      <c r="C41" s="20">
        <v>1.2889999999999999</v>
      </c>
      <c r="D41" s="20">
        <v>1.6579999999999999</v>
      </c>
      <c r="E41" s="25">
        <v>1.98</v>
      </c>
      <c r="F41" s="20">
        <v>2.3580000000000001</v>
      </c>
      <c r="G41" s="20">
        <v>2.617</v>
      </c>
    </row>
    <row r="42" spans="2:7" ht="12" thickBot="1" x14ac:dyDescent="0.25">
      <c r="B42" s="21" t="s">
        <v>32</v>
      </c>
      <c r="C42" s="22">
        <v>1.282</v>
      </c>
      <c r="D42" s="22">
        <v>1.645</v>
      </c>
      <c r="E42" s="26">
        <v>1.96</v>
      </c>
      <c r="F42" s="22">
        <v>2.3260000000000001</v>
      </c>
      <c r="G42" s="22">
        <v>2.5760000000000001</v>
      </c>
    </row>
    <row r="43" spans="2:7" ht="12.6" thickBot="1" x14ac:dyDescent="0.3">
      <c r="B43" s="23" t="s">
        <v>33</v>
      </c>
      <c r="C43" s="24">
        <v>0.8</v>
      </c>
      <c r="D43" s="24">
        <v>0.9</v>
      </c>
      <c r="E43" s="27">
        <v>0.95</v>
      </c>
      <c r="F43" s="24">
        <v>0.98</v>
      </c>
      <c r="G43" s="24">
        <v>0.99</v>
      </c>
    </row>
    <row r="45" spans="2:7" x14ac:dyDescent="0.2">
      <c r="B45" s="1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5"/>
  <sheetViews>
    <sheetView zoomScale="102" zoomScaleNormal="102" workbookViewId="0"/>
  </sheetViews>
  <sheetFormatPr defaultRowHeight="11.4" x14ac:dyDescent="0.2"/>
  <cols>
    <col min="1" max="1" width="2" style="1" customWidth="1"/>
    <col min="2" max="2" width="10.21875" style="1" customWidth="1"/>
    <col min="3" max="3" width="15.5546875" style="1" customWidth="1"/>
    <col min="4" max="4" width="14.33203125" style="1" bestFit="1" customWidth="1"/>
    <col min="5" max="5" width="9.44140625" style="1" bestFit="1" customWidth="1"/>
    <col min="6" max="6" width="9.44140625" style="1" customWidth="1"/>
    <col min="7" max="7" width="8.88671875" style="1"/>
    <col min="8" max="8" width="11.109375" style="1" bestFit="1" customWidth="1"/>
    <col min="9" max="9" width="5.33203125" style="1" bestFit="1" customWidth="1"/>
    <col min="10" max="10" width="33.5546875" style="1" customWidth="1"/>
    <col min="11" max="11" width="11.5546875" style="1" bestFit="1" customWidth="1"/>
    <col min="12" max="12" width="5.5546875" style="1" bestFit="1" customWidth="1"/>
    <col min="13" max="13" width="11.5546875" style="1" bestFit="1" customWidth="1"/>
    <col min="14" max="16384" width="8.88671875" style="1"/>
  </cols>
  <sheetData>
    <row r="1" spans="2:11" ht="15.6" x14ac:dyDescent="0.3">
      <c r="B1" s="2" t="s">
        <v>0</v>
      </c>
      <c r="C1" s="2"/>
    </row>
    <row r="2" spans="2:11" ht="12" x14ac:dyDescent="0.25">
      <c r="B2" s="3" t="s">
        <v>16</v>
      </c>
    </row>
    <row r="4" spans="2:11" ht="12" x14ac:dyDescent="0.25">
      <c r="B4" s="3" t="s">
        <v>2</v>
      </c>
      <c r="C4" s="1" t="s">
        <v>3</v>
      </c>
    </row>
    <row r="5" spans="2:11" ht="12" x14ac:dyDescent="0.25">
      <c r="B5" s="3"/>
      <c r="C5" s="1" t="s">
        <v>18</v>
      </c>
    </row>
    <row r="6" spans="2:11" ht="12" x14ac:dyDescent="0.25">
      <c r="B6" s="3" t="s">
        <v>6</v>
      </c>
      <c r="C6" s="1" t="s">
        <v>7</v>
      </c>
    </row>
    <row r="7" spans="2:11" ht="12" x14ac:dyDescent="0.25">
      <c r="B7" s="3" t="s">
        <v>8</v>
      </c>
      <c r="C7" s="1" t="s">
        <v>9</v>
      </c>
    </row>
    <row r="8" spans="2:11" ht="12" x14ac:dyDescent="0.25">
      <c r="B8" s="3" t="s">
        <v>10</v>
      </c>
      <c r="C8" s="1" t="s">
        <v>11</v>
      </c>
    </row>
    <row r="9" spans="2:11" ht="12" x14ac:dyDescent="0.25">
      <c r="B9" s="3" t="s">
        <v>12</v>
      </c>
      <c r="C9" s="1" t="s">
        <v>13</v>
      </c>
    </row>
    <row r="10" spans="2:11" ht="12" x14ac:dyDescent="0.25">
      <c r="B10" s="3" t="s">
        <v>19</v>
      </c>
      <c r="C10" s="1" t="s">
        <v>20</v>
      </c>
    </row>
    <row r="11" spans="2:11" ht="12" x14ac:dyDescent="0.25">
      <c r="B11" s="3"/>
    </row>
    <row r="12" spans="2:11" ht="12" x14ac:dyDescent="0.25">
      <c r="B12" s="3"/>
    </row>
    <row r="14" spans="2:11" ht="12.6" thickBot="1" x14ac:dyDescent="0.3">
      <c r="B14" s="7" t="s">
        <v>5</v>
      </c>
      <c r="C14" s="7" t="s">
        <v>14</v>
      </c>
      <c r="D14" s="7" t="s">
        <v>15</v>
      </c>
      <c r="E14" s="7" t="s">
        <v>1</v>
      </c>
      <c r="F14" s="12"/>
    </row>
    <row r="15" spans="2:11" ht="12" x14ac:dyDescent="0.25">
      <c r="B15" s="1">
        <v>1</v>
      </c>
      <c r="C15" s="5">
        <v>228.5752732416</v>
      </c>
      <c r="D15" s="8">
        <v>204.74330271939999</v>
      </c>
      <c r="E15" s="5">
        <f t="shared" ref="E15:E24" si="0">D15-C15</f>
        <v>-23.83197052220001</v>
      </c>
      <c r="F15" s="5"/>
      <c r="G15" s="3"/>
      <c r="H15" s="3"/>
      <c r="I15" s="5"/>
      <c r="K15" s="3"/>
    </row>
    <row r="16" spans="2:11" ht="12" x14ac:dyDescent="0.25">
      <c r="B16" s="1">
        <v>2</v>
      </c>
      <c r="C16" s="5">
        <v>244.00763158160001</v>
      </c>
      <c r="D16" s="8">
        <v>223.94556573959997</v>
      </c>
      <c r="E16" s="5">
        <f t="shared" si="0"/>
        <v>-20.062065842000038</v>
      </c>
      <c r="F16" s="5"/>
      <c r="H16" s="3"/>
      <c r="I16" s="5"/>
    </row>
    <row r="17" spans="2:15" ht="12" x14ac:dyDescent="0.25">
      <c r="B17" s="1">
        <v>3</v>
      </c>
      <c r="C17" s="5">
        <v>262.46032291099999</v>
      </c>
      <c r="D17" s="8">
        <v>232.94042602919998</v>
      </c>
      <c r="E17" s="5">
        <f t="shared" si="0"/>
        <v>-29.519896881800008</v>
      </c>
      <c r="F17" s="5"/>
      <c r="K17" s="3"/>
      <c r="L17" s="5"/>
    </row>
    <row r="18" spans="2:15" ht="12" x14ac:dyDescent="0.25">
      <c r="B18" s="1">
        <v>4</v>
      </c>
      <c r="C18" s="5">
        <v>224.320351585</v>
      </c>
      <c r="D18" s="8">
        <v>212.04060359159999</v>
      </c>
      <c r="E18" s="5">
        <f t="shared" si="0"/>
        <v>-12.279747993400008</v>
      </c>
      <c r="F18" s="5"/>
      <c r="G18" s="3"/>
      <c r="H18" s="13"/>
    </row>
    <row r="19" spans="2:15" ht="12" x14ac:dyDescent="0.25">
      <c r="B19" s="1">
        <v>5</v>
      </c>
      <c r="C19" s="5">
        <v>202.14184802779999</v>
      </c>
      <c r="D19" s="8">
        <v>191.73602926139998</v>
      </c>
      <c r="E19" s="5">
        <f t="shared" si="0"/>
        <v>-10.405818766400017</v>
      </c>
      <c r="F19" s="5"/>
      <c r="I19" s="10"/>
      <c r="J19" s="10"/>
      <c r="K19" s="12"/>
      <c r="L19" s="12"/>
      <c r="M19" s="12"/>
      <c r="N19" s="10"/>
    </row>
    <row r="20" spans="2:15" ht="12" x14ac:dyDescent="0.25">
      <c r="B20" s="1">
        <v>6</v>
      </c>
      <c r="C20" s="5">
        <v>246.98387211859998</v>
      </c>
      <c r="D20" s="8">
        <v>233.469535458</v>
      </c>
      <c r="E20" s="5">
        <f t="shared" si="0"/>
        <v>-13.51433666059998</v>
      </c>
      <c r="F20" s="5"/>
      <c r="K20" s="14"/>
      <c r="L20" s="11"/>
      <c r="M20" s="11"/>
      <c r="N20" s="10"/>
      <c r="O20" s="10"/>
    </row>
    <row r="21" spans="2:15" x14ac:dyDescent="0.2">
      <c r="B21" s="1">
        <v>7</v>
      </c>
      <c r="C21" s="5">
        <v>195.85867356079999</v>
      </c>
      <c r="D21" s="8">
        <v>177.6043982672</v>
      </c>
      <c r="E21" s="5">
        <f t="shared" si="0"/>
        <v>-18.254275293599989</v>
      </c>
      <c r="F21" s="5"/>
      <c r="L21" s="10"/>
      <c r="M21" s="10"/>
      <c r="N21" s="10"/>
      <c r="O21" s="10"/>
    </row>
    <row r="22" spans="2:15" x14ac:dyDescent="0.2">
      <c r="B22" s="1">
        <v>8</v>
      </c>
      <c r="C22" s="5">
        <v>231.88220717159999</v>
      </c>
      <c r="D22" s="8">
        <v>213.84839413999998</v>
      </c>
      <c r="E22" s="5">
        <f t="shared" si="0"/>
        <v>-18.033813031600005</v>
      </c>
      <c r="F22" s="5"/>
      <c r="L22" s="10"/>
      <c r="M22" s="10"/>
      <c r="N22" s="10"/>
      <c r="O22" s="10"/>
    </row>
    <row r="23" spans="2:15" ht="12" x14ac:dyDescent="0.25">
      <c r="B23" s="1">
        <v>9</v>
      </c>
      <c r="C23" s="5">
        <v>243.32419856939998</v>
      </c>
      <c r="D23" s="8">
        <v>218.85288748739998</v>
      </c>
      <c r="E23" s="5">
        <f t="shared" si="0"/>
        <v>-24.471311082</v>
      </c>
      <c r="F23" s="5"/>
      <c r="K23" s="3"/>
      <c r="L23" s="10"/>
      <c r="M23" s="10"/>
      <c r="N23" s="10"/>
      <c r="O23" s="10"/>
    </row>
    <row r="24" spans="2:15" x14ac:dyDescent="0.2">
      <c r="B24" s="4">
        <v>10</v>
      </c>
      <c r="C24" s="6">
        <v>266.73729079379996</v>
      </c>
      <c r="D24" s="9">
        <v>236.86465429279997</v>
      </c>
      <c r="E24" s="6">
        <f t="shared" si="0"/>
        <v>-29.872636500999988</v>
      </c>
      <c r="F24" s="11"/>
      <c r="L24" s="10"/>
      <c r="M24" s="10"/>
      <c r="N24" s="10"/>
      <c r="O24" s="10"/>
    </row>
    <row r="25" spans="2:15" x14ac:dyDescent="0.2">
      <c r="K25" s="10"/>
      <c r="L25" s="10"/>
      <c r="M25" s="10"/>
      <c r="N25" s="10"/>
      <c r="O25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8"/>
  <sheetViews>
    <sheetView tabSelected="1" zoomScale="102" zoomScaleNormal="102" workbookViewId="0">
      <selection activeCell="H27" sqref="H27"/>
    </sheetView>
  </sheetViews>
  <sheetFormatPr defaultRowHeight="11.4" x14ac:dyDescent="0.2"/>
  <cols>
    <col min="1" max="1" width="2" style="1" customWidth="1"/>
    <col min="2" max="2" width="10.21875" style="1" customWidth="1"/>
    <col min="3" max="3" width="15.5546875" style="1" customWidth="1"/>
    <col min="4" max="4" width="14.33203125" style="1" customWidth="1"/>
    <col min="5" max="6" width="9.44140625" style="1" customWidth="1"/>
    <col min="7" max="7" width="27.21875" style="1" bestFit="1" customWidth="1"/>
    <col min="8" max="8" width="11.109375" style="1" customWidth="1"/>
    <col min="9" max="9" width="5.33203125" style="1" customWidth="1"/>
    <col min="10" max="10" width="33.5546875" style="1" customWidth="1"/>
    <col min="11" max="11" width="11.5546875" style="1" customWidth="1"/>
    <col min="12" max="12" width="5.5546875" style="1" customWidth="1"/>
    <col min="13" max="13" width="11.5546875" style="1" customWidth="1"/>
    <col min="14" max="16384" width="8.88671875" style="1"/>
  </cols>
  <sheetData>
    <row r="1" spans="2:18" ht="15.6" x14ac:dyDescent="0.3">
      <c r="B1" s="2" t="s">
        <v>0</v>
      </c>
      <c r="C1" s="2"/>
    </row>
    <row r="2" spans="2:18" ht="12" x14ac:dyDescent="0.25">
      <c r="B2" s="3" t="s">
        <v>17</v>
      </c>
    </row>
    <row r="4" spans="2:18" ht="12" x14ac:dyDescent="0.25">
      <c r="B4" s="3" t="s">
        <v>2</v>
      </c>
      <c r="C4" s="1" t="s">
        <v>3</v>
      </c>
    </row>
    <row r="5" spans="2:18" ht="12" x14ac:dyDescent="0.25">
      <c r="B5" s="3"/>
      <c r="C5" s="1" t="s">
        <v>4</v>
      </c>
    </row>
    <row r="6" spans="2:18" ht="12" x14ac:dyDescent="0.25">
      <c r="B6" s="3" t="s">
        <v>6</v>
      </c>
      <c r="C6" s="1" t="s">
        <v>7</v>
      </c>
    </row>
    <row r="7" spans="2:18" ht="12" x14ac:dyDescent="0.25">
      <c r="B7" s="3" t="s">
        <v>8</v>
      </c>
      <c r="C7" s="1" t="s">
        <v>9</v>
      </c>
    </row>
    <row r="8" spans="2:18" ht="12" x14ac:dyDescent="0.25">
      <c r="B8" s="3" t="s">
        <v>10</v>
      </c>
      <c r="C8" s="1" t="s">
        <v>11</v>
      </c>
    </row>
    <row r="9" spans="2:18" ht="12" x14ac:dyDescent="0.25">
      <c r="B9" s="3" t="s">
        <v>12</v>
      </c>
      <c r="C9" s="1" t="s">
        <v>13</v>
      </c>
    </row>
    <row r="10" spans="2:18" ht="12" x14ac:dyDescent="0.25">
      <c r="B10" s="3" t="s">
        <v>19</v>
      </c>
      <c r="C10" s="1" t="s">
        <v>20</v>
      </c>
    </row>
    <row r="11" spans="2:18" ht="12" x14ac:dyDescent="0.25">
      <c r="B11" s="3"/>
    </row>
    <row r="12" spans="2:18" ht="12" x14ac:dyDescent="0.25">
      <c r="B12" s="3"/>
    </row>
    <row r="14" spans="2:18" ht="12.6" thickBot="1" x14ac:dyDescent="0.3">
      <c r="B14" s="7" t="s">
        <v>5</v>
      </c>
      <c r="C14" s="7" t="s">
        <v>21</v>
      </c>
      <c r="D14" s="7" t="s">
        <v>22</v>
      </c>
      <c r="E14" s="7" t="s">
        <v>1</v>
      </c>
      <c r="F14" s="12"/>
    </row>
    <row r="15" spans="2:18" ht="12" x14ac:dyDescent="0.25">
      <c r="B15" s="1">
        <v>1</v>
      </c>
      <c r="C15" s="5">
        <v>103.67999991305493</v>
      </c>
      <c r="D15" s="8">
        <v>92.869999922120087</v>
      </c>
      <c r="E15" s="5">
        <f t="shared" ref="E15:E24" si="0">D15-C15</f>
        <v>-10.809999990934841</v>
      </c>
      <c r="F15" s="5"/>
      <c r="G15" s="15" t="s">
        <v>23</v>
      </c>
      <c r="H15" s="5">
        <f>AVERAGE(E15:E24)</f>
        <v>-9.0829999923830833</v>
      </c>
      <c r="I15" s="11"/>
      <c r="J15" s="10"/>
      <c r="K15" s="15"/>
      <c r="L15" s="10"/>
      <c r="M15" s="10"/>
      <c r="N15" s="10"/>
      <c r="O15" s="10"/>
      <c r="P15" s="10"/>
      <c r="Q15" s="10"/>
      <c r="R15" s="10"/>
    </row>
    <row r="16" spans="2:18" ht="12" x14ac:dyDescent="0.25">
      <c r="B16" s="1">
        <v>2</v>
      </c>
      <c r="C16" s="5">
        <v>110.67999990718481</v>
      </c>
      <c r="D16" s="8">
        <v>101.57999991481596</v>
      </c>
      <c r="E16" s="5">
        <f t="shared" si="0"/>
        <v>-9.0999999923688506</v>
      </c>
      <c r="F16" s="5"/>
      <c r="G16" s="15" t="s">
        <v>24</v>
      </c>
      <c r="H16" s="5">
        <f>_xlfn.STDEV.S(E15:E24)</f>
        <v>3.1111414456558117</v>
      </c>
      <c r="I16" s="11"/>
      <c r="J16" s="10"/>
      <c r="K16" s="10"/>
      <c r="L16" s="10"/>
      <c r="M16" s="10"/>
      <c r="N16" s="10"/>
      <c r="O16" s="10"/>
      <c r="P16" s="10"/>
      <c r="Q16" s="10"/>
      <c r="R16" s="10"/>
    </row>
    <row r="17" spans="2:18" ht="12" x14ac:dyDescent="0.25">
      <c r="B17" s="1">
        <v>3</v>
      </c>
      <c r="C17" s="5">
        <v>119.04999990016579</v>
      </c>
      <c r="D17" s="8">
        <v>105.65999991139452</v>
      </c>
      <c r="E17" s="5">
        <f t="shared" si="0"/>
        <v>-13.389999988771265</v>
      </c>
      <c r="F17" s="5"/>
      <c r="G17" s="10"/>
      <c r="H17" s="10"/>
      <c r="I17" s="10"/>
      <c r="J17" s="10"/>
      <c r="K17" s="15"/>
      <c r="L17" s="11"/>
      <c r="M17" s="10"/>
      <c r="N17" s="10"/>
      <c r="O17" s="10"/>
      <c r="P17" s="10"/>
      <c r="Q17" s="10"/>
      <c r="R17" s="10"/>
    </row>
    <row r="18" spans="2:18" ht="12" x14ac:dyDescent="0.25">
      <c r="B18" s="1">
        <v>4</v>
      </c>
      <c r="C18" s="5">
        <v>101.74999991467341</v>
      </c>
      <c r="D18" s="8">
        <v>96.179999919344354</v>
      </c>
      <c r="E18" s="5">
        <f t="shared" si="0"/>
        <v>-5.5699999953290558</v>
      </c>
      <c r="F18" s="5"/>
      <c r="G18" s="15" t="s">
        <v>25</v>
      </c>
      <c r="H18" s="16" t="s">
        <v>26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2:18" ht="12" x14ac:dyDescent="0.25">
      <c r="B19" s="1">
        <v>5</v>
      </c>
      <c r="C19" s="5">
        <v>91.689999923109625</v>
      </c>
      <c r="D19" s="8">
        <v>86.969999927067775</v>
      </c>
      <c r="E19" s="5">
        <f t="shared" si="0"/>
        <v>-4.7199999960418495</v>
      </c>
      <c r="F19" s="5"/>
      <c r="G19" s="10"/>
      <c r="H19" s="10"/>
      <c r="I19" s="10"/>
      <c r="J19" s="10"/>
      <c r="K19" s="12"/>
      <c r="L19" s="12"/>
      <c r="M19" s="12"/>
      <c r="N19" s="10"/>
      <c r="O19" s="10"/>
      <c r="P19" s="10"/>
      <c r="Q19" s="10"/>
      <c r="R19" s="10"/>
    </row>
    <row r="20" spans="2:18" ht="12" x14ac:dyDescent="0.25">
      <c r="B20" s="1">
        <v>6</v>
      </c>
      <c r="C20" s="5">
        <v>112.02999990605269</v>
      </c>
      <c r="D20" s="8">
        <v>105.89999991119326</v>
      </c>
      <c r="E20" s="5">
        <f t="shared" si="0"/>
        <v>-6.1299999948594319</v>
      </c>
      <c r="F20" s="5"/>
      <c r="G20" s="15" t="s">
        <v>27</v>
      </c>
      <c r="H20" s="10">
        <f>(1-0.95)/2</f>
        <v>2.5000000000000022E-2</v>
      </c>
      <c r="I20" s="10"/>
      <c r="J20" s="10"/>
      <c r="K20" s="14"/>
      <c r="L20" s="11"/>
      <c r="M20" s="11"/>
      <c r="N20" s="10"/>
      <c r="O20" s="10"/>
      <c r="P20" s="10"/>
      <c r="Q20" s="10"/>
      <c r="R20" s="10"/>
    </row>
    <row r="21" spans="2:18" x14ac:dyDescent="0.2">
      <c r="B21" s="1">
        <v>7</v>
      </c>
      <c r="C21" s="5">
        <v>88.839999925499612</v>
      </c>
      <c r="D21" s="8">
        <v>80.559999932443148</v>
      </c>
      <c r="E21" s="5">
        <f t="shared" si="0"/>
        <v>-8.2799999930564638</v>
      </c>
      <c r="F21" s="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2:18" ht="12" x14ac:dyDescent="0.25">
      <c r="B22" s="1">
        <v>8</v>
      </c>
      <c r="C22" s="5">
        <v>105.17999991179704</v>
      </c>
      <c r="D22" s="8">
        <v>96.999999918656712</v>
      </c>
      <c r="E22" s="5">
        <f t="shared" si="0"/>
        <v>-8.1799999931403278</v>
      </c>
      <c r="F22" s="5"/>
      <c r="G22" s="15" t="s">
        <v>38</v>
      </c>
      <c r="H22" s="10">
        <v>2.262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2:18" ht="12" x14ac:dyDescent="0.25">
      <c r="B23" s="1">
        <v>9</v>
      </c>
      <c r="C23" s="5">
        <v>110.36999990744475</v>
      </c>
      <c r="D23" s="8">
        <v>99.269999916753108</v>
      </c>
      <c r="E23" s="5">
        <f t="shared" si="0"/>
        <v>-11.099999990691643</v>
      </c>
      <c r="F23" s="5"/>
      <c r="G23" s="10"/>
      <c r="H23" s="10"/>
      <c r="I23" s="10"/>
      <c r="J23" s="10"/>
      <c r="K23" s="15"/>
      <c r="L23" s="10"/>
      <c r="M23" s="10"/>
      <c r="N23" s="10"/>
      <c r="O23" s="10"/>
      <c r="P23" s="10"/>
      <c r="Q23" s="10"/>
      <c r="R23" s="10"/>
    </row>
    <row r="24" spans="2:18" x14ac:dyDescent="0.2">
      <c r="B24" s="4">
        <v>10</v>
      </c>
      <c r="C24" s="6">
        <v>120.98999989853891</v>
      </c>
      <c r="D24" s="9">
        <v>107.43999990990181</v>
      </c>
      <c r="E24" s="6">
        <f t="shared" si="0"/>
        <v>-13.549999988637097</v>
      </c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2:18" x14ac:dyDescent="0.2">
      <c r="G25" s="31" t="s">
        <v>35</v>
      </c>
      <c r="H25" s="31" t="s">
        <v>36</v>
      </c>
      <c r="I25" s="31" t="s">
        <v>37</v>
      </c>
      <c r="J25" s="10"/>
      <c r="K25" s="10"/>
      <c r="L25" s="10"/>
      <c r="M25" s="10"/>
      <c r="N25" s="10"/>
      <c r="O25" s="10"/>
      <c r="P25" s="10"/>
      <c r="Q25" s="10"/>
      <c r="R25" s="10"/>
    </row>
    <row r="26" spans="2:18" x14ac:dyDescent="0.2">
      <c r="G26" s="32">
        <v>0.95</v>
      </c>
      <c r="H26" s="33">
        <f>$H$15-$H$16*$H$22/SQRT(COUNT($B$15:$B$24))</f>
        <v>-11.308421889617348</v>
      </c>
      <c r="I26" s="33">
        <f>$H$15+$H$16*$H$22/SQRT(COUNT($B$15:$B$24))</f>
        <v>-6.8575780951488188</v>
      </c>
      <c r="J26" s="10"/>
      <c r="K26" s="10"/>
      <c r="L26" s="10"/>
      <c r="M26" s="10"/>
      <c r="N26" s="10"/>
      <c r="O26" s="10"/>
      <c r="P26" s="10"/>
      <c r="Q26" s="10"/>
      <c r="R26" s="10"/>
    </row>
    <row r="27" spans="2:18" x14ac:dyDescent="0.2"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2:18" x14ac:dyDescent="0.2"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t-table</vt:lpstr>
      <vt:lpstr>Data in lbs</vt:lpstr>
      <vt:lpstr>Data in 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2023-08-11T16:53:29Z</dcterms:modified>
</cp:coreProperties>
</file>