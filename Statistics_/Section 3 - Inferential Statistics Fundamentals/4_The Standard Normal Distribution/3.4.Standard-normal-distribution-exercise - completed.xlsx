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3 - Inferential Statistics Fundamentals_\4_The Standard Normal Distribution\"/>
    </mc:Choice>
  </mc:AlternateContent>
  <xr:revisionPtr revIDLastSave="0" documentId="13_ncr:1_{DD86F32D-8809-4926-9876-82B84D15EA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andard normal" sheetId="3" r:id="rId1"/>
  </sheets>
  <definedNames>
    <definedName name="_xlchart.v1.0" hidden="1">'Standard normal'!$F$15</definedName>
    <definedName name="_xlchart.v1.1" hidden="1">'Standard normal'!$F$16:$F$95</definedName>
    <definedName name="_xlchart.v1.2" hidden="1">'Standard normal'!$D$15</definedName>
    <definedName name="_xlchart.v1.3" hidden="1">'Standard normal'!$D$16:$D$95</definedName>
    <definedName name="_xlchart.v1.4" hidden="1">'Standard normal'!$B$15</definedName>
    <definedName name="_xlchart.v1.5" hidden="1">'Standard normal'!$B$16:$B$95</definedName>
    <definedName name="_xlchart.v1.6" hidden="1">'Standard normal'!$F$15</definedName>
    <definedName name="_xlchart.v1.7" hidden="1">'Standard normal'!$F$16:$F$95</definedName>
    <definedName name="_xlnm.Print_Area" localSheetId="0">'Standard normal'!$A$1:$V$53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3" l="1"/>
  <c r="F16" i="3"/>
  <c r="D16" i="3"/>
  <c r="I12" i="3"/>
  <c r="F21" i="3"/>
  <c r="F17" i="3"/>
  <c r="B12" i="3"/>
  <c r="D17" i="3"/>
  <c r="D24" i="3"/>
  <c r="D58" i="3" l="1"/>
  <c r="D82" i="3"/>
  <c r="D81" i="3"/>
  <c r="D33" i="3"/>
  <c r="D56" i="3"/>
  <c r="D67" i="3"/>
  <c r="D20" i="3"/>
  <c r="D95" i="3"/>
  <c r="D71" i="3"/>
  <c r="D47" i="3"/>
  <c r="D94" i="3"/>
  <c r="D46" i="3"/>
  <c r="D93" i="3"/>
  <c r="D45" i="3"/>
  <c r="D68" i="3"/>
  <c r="D31" i="3"/>
  <c r="D90" i="3"/>
  <c r="D54" i="3"/>
  <c r="D22" i="3"/>
  <c r="D65" i="3"/>
  <c r="D29" i="3"/>
  <c r="D64" i="3"/>
  <c r="D40" i="3"/>
  <c r="D75" i="3"/>
  <c r="D27" i="3"/>
  <c r="D19" i="3"/>
  <c r="D86" i="3"/>
  <c r="D74" i="3"/>
  <c r="D62" i="3"/>
  <c r="D50" i="3"/>
  <c r="D38" i="3"/>
  <c r="D26" i="3"/>
  <c r="D57" i="3"/>
  <c r="D80" i="3"/>
  <c r="D32" i="3"/>
  <c r="D79" i="3"/>
  <c r="D43" i="3"/>
  <c r="D23" i="3"/>
  <c r="D66" i="3"/>
  <c r="D30" i="3"/>
  <c r="D89" i="3"/>
  <c r="D53" i="3"/>
  <c r="D21" i="3"/>
  <c r="D76" i="3"/>
  <c r="D28" i="3"/>
  <c r="D63" i="3"/>
  <c r="D39" i="3"/>
  <c r="D18" i="3"/>
  <c r="D85" i="3"/>
  <c r="D73" i="3"/>
  <c r="D61" i="3"/>
  <c r="D49" i="3"/>
  <c r="D37" i="3"/>
  <c r="D25" i="3"/>
  <c r="D83" i="3"/>
  <c r="D59" i="3"/>
  <c r="D35" i="3"/>
  <c r="D70" i="3"/>
  <c r="D34" i="3"/>
  <c r="D69" i="3"/>
  <c r="D92" i="3"/>
  <c r="D44" i="3"/>
  <c r="D91" i="3"/>
  <c r="D55" i="3"/>
  <c r="D78" i="3"/>
  <c r="D42" i="3"/>
  <c r="D77" i="3"/>
  <c r="D41" i="3"/>
  <c r="D88" i="3"/>
  <c r="D52" i="3"/>
  <c r="D87" i="3"/>
  <c r="D51" i="3"/>
  <c r="D84" i="3"/>
  <c r="D72" i="3"/>
  <c r="D60" i="3"/>
  <c r="D48" i="3"/>
  <c r="D36" i="3"/>
  <c r="F39" i="3" l="1"/>
  <c r="F63" i="3"/>
  <c r="F77" i="3"/>
  <c r="F38" i="3"/>
  <c r="F90" i="3"/>
  <c r="F56" i="3"/>
  <c r="F55" i="3"/>
  <c r="F31" i="3"/>
  <c r="F33" i="3"/>
  <c r="F93" i="3"/>
  <c r="F36" i="3"/>
  <c r="F49" i="3"/>
  <c r="F37" i="3"/>
  <c r="F22" i="3"/>
  <c r="F60" i="3"/>
  <c r="F82" i="3"/>
  <c r="F84" i="3"/>
  <c r="E12" i="3"/>
  <c r="F12" i="3"/>
  <c r="F75" i="3" s="1"/>
  <c r="F47" i="3"/>
  <c r="F35" i="3"/>
  <c r="F71" i="3"/>
  <c r="F59" i="3"/>
  <c r="F95" i="3"/>
  <c r="F62" i="3" l="1"/>
  <c r="F70" i="3"/>
  <c r="F79" i="3"/>
  <c r="F46" i="3"/>
  <c r="F69" i="3"/>
  <c r="F72" i="3"/>
  <c r="F43" i="3"/>
  <c r="F78" i="3"/>
  <c r="F23" i="3"/>
  <c r="F27" i="3"/>
  <c r="F61" i="3"/>
  <c r="F89" i="3"/>
  <c r="F74" i="3"/>
  <c r="F83" i="3"/>
  <c r="F45" i="3"/>
  <c r="F53" i="3"/>
  <c r="F94" i="3"/>
  <c r="F58" i="3"/>
  <c r="F81" i="3"/>
  <c r="F67" i="3"/>
  <c r="F20" i="3"/>
  <c r="F34" i="3"/>
  <c r="F85" i="3"/>
  <c r="F68" i="3"/>
  <c r="F54" i="3"/>
  <c r="F80" i="3"/>
  <c r="F18" i="3"/>
  <c r="F73" i="3"/>
  <c r="F86" i="3"/>
  <c r="F50" i="3"/>
  <c r="F25" i="3"/>
  <c r="F24" i="3"/>
  <c r="F41" i="3"/>
  <c r="F32" i="3"/>
  <c r="F30" i="3"/>
  <c r="F88" i="3"/>
  <c r="F40" i="3"/>
  <c r="F28" i="3"/>
  <c r="F57" i="3"/>
  <c r="F64" i="3"/>
  <c r="F52" i="3"/>
  <c r="F76" i="3"/>
  <c r="F44" i="3"/>
  <c r="F65" i="3"/>
  <c r="F29" i="3"/>
  <c r="F26" i="3"/>
  <c r="F87" i="3"/>
  <c r="F19" i="3"/>
  <c r="F92" i="3"/>
  <c r="F91" i="3"/>
  <c r="F48" i="3"/>
  <c r="F66" i="3"/>
  <c r="F42" i="3"/>
  <c r="F51" i="3"/>
  <c r="H12" i="3" l="1"/>
</calcChain>
</file>

<file path=xl/sharedStrings.xml><?xml version="1.0" encoding="utf-8"?>
<sst xmlns="http://schemas.openxmlformats.org/spreadsheetml/2006/main" count="21" uniqueCount="17">
  <si>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</si>
  <si>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</si>
  <si>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</si>
  <si>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</si>
  <si>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</si>
  <si>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</si>
  <si>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</si>
  <si>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</si>
  <si>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</si>
  <si>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</si>
  <si>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>Mean</t>
  </si>
  <si>
    <t>Std Dev</t>
  </si>
  <si>
    <t>Subtract Mean</t>
  </si>
  <si>
    <t>Divide by std</t>
  </si>
  <si>
    <t>Standardising the graph results in very little difference</t>
  </si>
  <si>
    <t>However, the mean is now 0 and the standard deviation 1</t>
  </si>
  <si>
    <t>The orignal historgram has had its mean move to 0 and the sides squashed to give a standard deviation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</si>
</sst>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Border="1"/>
    <xf numFmtId="0" fontId="2" fillId="2" borderId="0" xfId="0" applyFont="1" applyFill="1" applyBorder="1"/>
    <xf numFmtId="2" fontId="1" fillId="2" borderId="0" xfId="0" applyNumberFormat="1" applyFont="1" applyFill="1" applyBorder="1"/>
    <xf numFmtId="2" fontId="1" fillId="2" borderId="0" xfId="0" applyNumberFormat="1" applyFont="1" applyFill="1"/>
    <xf numFmtId="2" fontId="1" fillId="2" borderId="2" xfId="0" applyNumberFormat="1" applyFont="1" applyFill="1" applyBorder="1"/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Original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Original dataset</a:t>
          </a:r>
        </a:p>
      </cx:txPr>
    </cx:title>
    <cx:plotArea>
      <cx:plotAreaRegion>
        <cx:series layoutId="clusteredColumn" uniqueId="{744BAFFE-3839-4C0B-86D7-294CA4E39DC8}" formatIdx="0">
          <cx:tx>
            <cx:txData>
              <cx:f>_xlchart.v1.4</cx:f>
              <cx:v>Original dataset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Substraction of the Mean from each orginal dataset - </a:t>
            </a:r>
            <a:r>
              <a:rPr lang="en-US" sz="1400" b="0" i="1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Mean is now 0</a:t>
            </a:r>
          </a:p>
        </cx:rich>
      </cx:tx>
    </cx:title>
    <cx:plotArea>
      <cx:plotAreaRegion>
        <cx:series layoutId="clusteredColumn" uniqueId="{5D277D8D-C202-485C-B04E-5C5C53AC721A}">
          <cx:tx>
            <cx:txData>
              <cx:f>_xlchart.v1.2</cx:f>
              <cx:v>Subtract 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(Mean - Variance)/Standard Deviation - </a:t>
            </a:r>
            <a:r>
              <a:rPr lang="en-US" sz="1400" b="0" i="1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Standard Deviation is now 1</a:t>
            </a:r>
          </a:p>
        </cx:rich>
      </cx:tx>
    </cx:title>
    <cx:plotArea>
      <cx:plotAreaRegion>
        <cx:series layoutId="clusteredColumn" uniqueId="{2E842438-E3CC-4408-8093-E7ED0CB522DB}">
          <cx:tx>
            <cx:txData>
              <cx:f>_xlchart.v1.0</cx:f>
              <cx:v>Divide by std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12</xdr:row>
      <xdr:rowOff>80010</xdr:rowOff>
    </xdr:from>
    <xdr:to>
      <xdr:col>13</xdr:col>
      <xdr:colOff>449580</xdr:colOff>
      <xdr:row>31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4464A4-2F8C-4353-9D68-48884BA880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6240" y="1946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571500</xdr:colOff>
      <xdr:row>12</xdr:row>
      <xdr:rowOff>80010</xdr:rowOff>
    </xdr:from>
    <xdr:to>
      <xdr:col>21</xdr:col>
      <xdr:colOff>121920</xdr:colOff>
      <xdr:row>31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59BC9C-AF75-4AC1-8194-FF505810D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0160" y="1946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274320</xdr:colOff>
      <xdr:row>31</xdr:row>
      <xdr:rowOff>140970</xdr:rowOff>
    </xdr:from>
    <xdr:to>
      <xdr:col>13</xdr:col>
      <xdr:colOff>464820</xdr:colOff>
      <xdr:row>50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21D4E86-343A-4104-AF49-3E52EB6779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1480" y="4804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95"/>
  <sheetViews>
    <sheetView tabSelected="1" zoomScale="110" zoomScaleNormal="110" workbookViewId="0">
      <selection activeCell="Q37" sqref="Q37"/>
    </sheetView>
  </sheetViews>
  <sheetFormatPr defaultRowHeight="11.4" x14ac:dyDescent="0.2"/>
  <cols>
    <col min="1" max="1" width="2" style="1" customWidth="1"/>
    <col min="2" max="2" width="13.6640625" style="1" customWidth="1"/>
    <col min="3" max="3" width="8.88671875" style="1"/>
    <col min="4" max="4" width="11.44140625" style="7" customWidth="1"/>
    <col min="5" max="5" width="10" style="7" customWidth="1"/>
    <col min="6" max="6" width="11.5546875" style="7" customWidth="1"/>
    <col min="7" max="7" width="7.33203125" style="7" customWidth="1"/>
    <col min="8" max="8" width="8.88671875" style="7"/>
    <col min="9" max="9" width="12.109375" style="7" bestFit="1" customWidth="1"/>
    <col min="10" max="14" width="8.88671875" style="7"/>
    <col min="15" max="15" width="11" style="7" bestFit="1" customWidth="1"/>
    <col min="16" max="20" width="8.88671875" style="7"/>
    <col min="21" max="16384" width="8.88671875" style="1"/>
  </cols>
  <sheetData>
    <row r="1" spans="2:20" ht="15.6" x14ac:dyDescent="0.3"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2" x14ac:dyDescent="0.25">
      <c r="B3" s="5" t="s">
        <v>1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2" x14ac:dyDescent="0.25">
      <c r="B4" s="5" t="s">
        <v>2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2" x14ac:dyDescent="0.25">
      <c r="B5" s="5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2" x14ac:dyDescent="0.25">
      <c r="B6" s="5" t="s">
        <v>6</v>
      </c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12" x14ac:dyDescent="0.25">
      <c r="B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12" x14ac:dyDescent="0.25">
      <c r="B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12" x14ac:dyDescent="0.25">
      <c r="B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12" x14ac:dyDescent="0.25">
      <c r="B10" s="5"/>
      <c r="D10" s="1"/>
      <c r="E10" s="1"/>
      <c r="F10" s="1"/>
      <c r="G10" s="1"/>
      <c r="H10" s="1"/>
      <c r="I10" s="1"/>
      <c r="J10" s="1"/>
      <c r="K10" s="12" t="s">
        <v>14</v>
      </c>
      <c r="L10" s="1"/>
      <c r="M10" s="1"/>
      <c r="N10" s="1"/>
      <c r="O10" s="1"/>
      <c r="P10" s="1"/>
      <c r="Q10" s="1"/>
      <c r="R10" s="1"/>
      <c r="S10" s="1"/>
      <c r="T10" s="1"/>
    </row>
    <row r="11" spans="2:20" ht="12.6" thickBot="1" x14ac:dyDescent="0.3">
      <c r="B11" s="3" t="s">
        <v>10</v>
      </c>
      <c r="C11" s="3" t="s">
        <v>11</v>
      </c>
      <c r="D11" s="1"/>
      <c r="E11" s="3" t="s">
        <v>10</v>
      </c>
      <c r="F11" s="3" t="s">
        <v>11</v>
      </c>
      <c r="G11" s="1"/>
      <c r="H11" s="3" t="s">
        <v>10</v>
      </c>
      <c r="I11" s="3" t="s">
        <v>11</v>
      </c>
      <c r="J11" s="1"/>
      <c r="K11" s="7" t="s">
        <v>15</v>
      </c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">
      <c r="B12" s="9">
        <f>AVERAGE(B16:B95)</f>
        <v>743.02708333333317</v>
      </c>
      <c r="C12" s="9">
        <f>_xlfn.STDEV.P(B16:B95)</f>
        <v>73.489400425002728</v>
      </c>
      <c r="D12" s="1"/>
      <c r="E12" s="9">
        <f>AVERAGE(D16:D95)</f>
        <v>2.0889956431346944E-13</v>
      </c>
      <c r="F12" s="9">
        <f>_xlfn.STDEV.P(D16:D95)</f>
        <v>73.489400425002728</v>
      </c>
      <c r="G12" s="1"/>
      <c r="H12" s="9">
        <f>AVERAGE(F16:F95)</f>
        <v>2.6201263381153696E-15</v>
      </c>
      <c r="I12" s="9">
        <f>_xlfn.STDEV.P(F16:F95)</f>
        <v>1</v>
      </c>
      <c r="J12" s="1"/>
      <c r="K12" s="7" t="s">
        <v>16</v>
      </c>
      <c r="L12" s="1"/>
      <c r="M12" s="1"/>
      <c r="N12" s="1"/>
      <c r="O12" s="1"/>
      <c r="P12" s="1"/>
      <c r="Q12" s="1"/>
      <c r="R12" s="1"/>
      <c r="S12" s="1"/>
      <c r="T12" s="1"/>
    </row>
    <row r="13" spans="2:20" ht="12" x14ac:dyDescent="0.25">
      <c r="B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 s="1"/>
      <c r="S13" s="1"/>
      <c r="T13" s="1"/>
    </row>
    <row r="15" spans="2:20" ht="12.6" thickBot="1" x14ac:dyDescent="0.3">
      <c r="B15" s="3" t="s">
        <v>9</v>
      </c>
      <c r="D15" s="3" t="s">
        <v>12</v>
      </c>
      <c r="F15" s="3" t="s">
        <v>13</v>
      </c>
      <c r="I15" s="4"/>
      <c r="J15" s="1"/>
      <c r="K15" s="1"/>
      <c r="N15" s="8"/>
      <c r="O15" s="4"/>
    </row>
    <row r="16" spans="2:20" x14ac:dyDescent="0.2">
      <c r="B16" s="10">
        <v>567.45000000000005</v>
      </c>
      <c r="D16" s="9">
        <f>B16-$B$12</f>
        <v>-175.57708333333312</v>
      </c>
      <c r="F16" s="7">
        <f>D16/$F$12</f>
        <v>-2.3891483985165007</v>
      </c>
      <c r="I16" s="9"/>
      <c r="J16" s="1"/>
      <c r="K16" s="1"/>
      <c r="O16" s="9"/>
    </row>
    <row r="17" spans="2:18" ht="12" x14ac:dyDescent="0.25">
      <c r="B17" s="10">
        <v>572.45000000000005</v>
      </c>
      <c r="C17" s="6"/>
      <c r="D17" s="9">
        <f>B17-$B$12</f>
        <v>-170.57708333333312</v>
      </c>
      <c r="F17" s="7">
        <f>D17/$F$12</f>
        <v>-2.3211113758835213</v>
      </c>
      <c r="I17" s="9"/>
      <c r="K17" s="4"/>
      <c r="L17" s="9"/>
      <c r="M17" s="9"/>
      <c r="O17" s="9"/>
      <c r="Q17" s="1"/>
      <c r="R17" s="9"/>
    </row>
    <row r="18" spans="2:18" ht="12" x14ac:dyDescent="0.25">
      <c r="B18" s="10">
        <v>572.45000000000005</v>
      </c>
      <c r="D18" s="9">
        <f t="shared" ref="D18:D47" si="0">B18-$B$12</f>
        <v>-170.57708333333312</v>
      </c>
      <c r="E18" s="9"/>
      <c r="F18" s="7">
        <f t="shared" ref="F18:F80" si="1">D18/$F$12</f>
        <v>-2.3211113758835213</v>
      </c>
      <c r="G18" s="9"/>
      <c r="I18" s="9"/>
      <c r="K18" s="4"/>
      <c r="L18" s="9"/>
      <c r="M18" s="9"/>
      <c r="O18" s="9"/>
      <c r="Q18" s="4"/>
      <c r="R18" s="9"/>
    </row>
    <row r="19" spans="2:18" x14ac:dyDescent="0.2">
      <c r="B19" s="10">
        <v>589.11666666666679</v>
      </c>
      <c r="D19" s="9">
        <f t="shared" si="0"/>
        <v>-153.91041666666638</v>
      </c>
      <c r="F19" s="7">
        <f t="shared" si="1"/>
        <v>-2.0943213004402557</v>
      </c>
      <c r="I19" s="9"/>
      <c r="O19" s="9"/>
    </row>
    <row r="20" spans="2:18" ht="12" x14ac:dyDescent="0.25">
      <c r="B20" s="10">
        <v>613.86666666666679</v>
      </c>
      <c r="C20" s="6"/>
      <c r="D20" s="9">
        <f t="shared" si="0"/>
        <v>-129.16041666666638</v>
      </c>
      <c r="F20" s="7">
        <f t="shared" si="1"/>
        <v>-1.7575380384070072</v>
      </c>
      <c r="I20" s="9"/>
      <c r="J20" s="4"/>
      <c r="O20" s="9"/>
      <c r="P20" s="4"/>
    </row>
    <row r="21" spans="2:18" x14ac:dyDescent="0.2">
      <c r="B21" s="10">
        <v>615.7833333333333</v>
      </c>
      <c r="D21" s="9">
        <f t="shared" si="0"/>
        <v>-127.24374999999986</v>
      </c>
      <c r="F21" s="7">
        <f>D21/$F$12</f>
        <v>-1.7314571797310339</v>
      </c>
      <c r="I21" s="9"/>
      <c r="O21" s="9"/>
    </row>
    <row r="22" spans="2:18" x14ac:dyDescent="0.2">
      <c r="B22" s="10">
        <v>628.45000000000005</v>
      </c>
      <c r="D22" s="9">
        <f t="shared" si="0"/>
        <v>-114.57708333333312</v>
      </c>
      <c r="F22" s="7">
        <f t="shared" si="1"/>
        <v>-1.5590967223941516</v>
      </c>
      <c r="I22" s="9"/>
      <c r="O22" s="9"/>
    </row>
    <row r="23" spans="2:18" x14ac:dyDescent="0.2">
      <c r="B23" s="10">
        <v>644.86666666666679</v>
      </c>
      <c r="D23" s="9">
        <f t="shared" si="0"/>
        <v>-98.160416666666379</v>
      </c>
      <c r="F23" s="7">
        <f t="shared" si="1"/>
        <v>-1.3357084980825347</v>
      </c>
      <c r="I23" s="9"/>
      <c r="O23" s="9"/>
    </row>
    <row r="24" spans="2:18" x14ac:dyDescent="0.2">
      <c r="B24" s="10">
        <v>650.45000000000005</v>
      </c>
      <c r="D24" s="9">
        <f t="shared" si="0"/>
        <v>-92.577083333333121</v>
      </c>
      <c r="F24" s="7">
        <f t="shared" si="1"/>
        <v>-1.259733822809042</v>
      </c>
      <c r="I24" s="9"/>
      <c r="O24" s="9"/>
    </row>
    <row r="25" spans="2:18" x14ac:dyDescent="0.2">
      <c r="B25" s="10">
        <v>652.20000000000005</v>
      </c>
      <c r="D25" s="9">
        <f t="shared" si="0"/>
        <v>-90.827083333333121</v>
      </c>
      <c r="F25" s="7">
        <f t="shared" si="1"/>
        <v>-1.2359208648874991</v>
      </c>
      <c r="I25" s="9"/>
      <c r="O25" s="9"/>
    </row>
    <row r="26" spans="2:18" x14ac:dyDescent="0.2">
      <c r="B26" s="10">
        <v>656.86666666666679</v>
      </c>
      <c r="D26" s="9">
        <f t="shared" si="0"/>
        <v>-86.160416666666379</v>
      </c>
      <c r="F26" s="7">
        <f t="shared" si="1"/>
        <v>-1.172419643763384</v>
      </c>
      <c r="I26" s="9"/>
      <c r="O26" s="9"/>
    </row>
    <row r="27" spans="2:18" x14ac:dyDescent="0.2">
      <c r="B27" s="10">
        <v>661.45</v>
      </c>
      <c r="D27" s="9">
        <f t="shared" si="0"/>
        <v>-81.577083333333121</v>
      </c>
      <c r="F27" s="7">
        <f>D27/$F$12</f>
        <v>-1.1100523730164873</v>
      </c>
      <c r="I27" s="9"/>
      <c r="O27" s="9"/>
    </row>
    <row r="28" spans="2:18" x14ac:dyDescent="0.2">
      <c r="B28" s="10">
        <v>666.45</v>
      </c>
      <c r="D28" s="9">
        <f t="shared" si="0"/>
        <v>-76.577083333333121</v>
      </c>
      <c r="F28" s="7">
        <f t="shared" si="1"/>
        <v>-1.0420153503835077</v>
      </c>
      <c r="I28" s="9"/>
      <c r="O28" s="9"/>
    </row>
    <row r="29" spans="2:18" x14ac:dyDescent="0.2">
      <c r="B29" s="10">
        <v>667.7</v>
      </c>
      <c r="D29" s="9">
        <f t="shared" si="0"/>
        <v>-75.327083333333121</v>
      </c>
      <c r="F29" s="7">
        <f t="shared" si="1"/>
        <v>-1.0250060947252628</v>
      </c>
      <c r="I29" s="9"/>
      <c r="O29" s="9"/>
    </row>
    <row r="30" spans="2:18" x14ac:dyDescent="0.2">
      <c r="B30" s="10">
        <v>668.95</v>
      </c>
      <c r="D30" s="9">
        <f t="shared" si="0"/>
        <v>-74.077083333333121</v>
      </c>
      <c r="F30" s="7">
        <f t="shared" si="1"/>
        <v>-1.007996839067018</v>
      </c>
      <c r="I30" s="9"/>
      <c r="O30" s="9"/>
    </row>
    <row r="31" spans="2:18" x14ac:dyDescent="0.2">
      <c r="B31" s="10">
        <v>675.2833333333333</v>
      </c>
      <c r="D31" s="9">
        <f t="shared" si="0"/>
        <v>-67.743749999999864</v>
      </c>
      <c r="F31" s="7">
        <f t="shared" si="1"/>
        <v>-0.92181661039857843</v>
      </c>
      <c r="I31" s="9"/>
      <c r="O31" s="9"/>
    </row>
    <row r="32" spans="2:18" x14ac:dyDescent="0.2">
      <c r="B32" s="10">
        <v>675.7833333333333</v>
      </c>
      <c r="D32" s="9">
        <f t="shared" si="0"/>
        <v>-67.243749999999864</v>
      </c>
      <c r="F32" s="7">
        <f t="shared" si="1"/>
        <v>-0.91501290813528047</v>
      </c>
      <c r="I32" s="9"/>
      <c r="O32" s="9"/>
    </row>
    <row r="33" spans="2:15" x14ac:dyDescent="0.2">
      <c r="B33" s="10">
        <v>685.5333333333333</v>
      </c>
      <c r="D33" s="9">
        <f t="shared" si="0"/>
        <v>-57.493749999999864</v>
      </c>
      <c r="F33" s="7">
        <f t="shared" si="1"/>
        <v>-0.78234071400097061</v>
      </c>
      <c r="I33" s="9"/>
      <c r="O33" s="9"/>
    </row>
    <row r="34" spans="2:15" x14ac:dyDescent="0.2">
      <c r="B34" s="10">
        <v>694.2833333333333</v>
      </c>
      <c r="D34" s="9">
        <f t="shared" si="0"/>
        <v>-48.743749999999864</v>
      </c>
      <c r="F34" s="7">
        <f t="shared" si="1"/>
        <v>-0.66327592439325656</v>
      </c>
      <c r="I34" s="9"/>
      <c r="O34" s="9"/>
    </row>
    <row r="35" spans="2:15" x14ac:dyDescent="0.2">
      <c r="B35" s="10">
        <v>697.61666666666679</v>
      </c>
      <c r="D35" s="9">
        <f t="shared" si="0"/>
        <v>-45.410416666666379</v>
      </c>
      <c r="F35" s="7">
        <f t="shared" si="1"/>
        <v>-0.61791790930460155</v>
      </c>
      <c r="I35" s="9"/>
      <c r="O35" s="9"/>
    </row>
    <row r="36" spans="2:15" x14ac:dyDescent="0.2">
      <c r="B36" s="10">
        <v>705.7833333333333</v>
      </c>
      <c r="D36" s="9">
        <f t="shared" si="0"/>
        <v>-37.243749999999864</v>
      </c>
      <c r="F36" s="7">
        <f t="shared" si="1"/>
        <v>-0.50679077233740377</v>
      </c>
      <c r="I36" s="9"/>
      <c r="O36" s="9"/>
    </row>
    <row r="37" spans="2:15" x14ac:dyDescent="0.2">
      <c r="B37" s="10">
        <v>705.86666666666679</v>
      </c>
      <c r="D37" s="9">
        <f t="shared" si="0"/>
        <v>-37.160416666666379</v>
      </c>
      <c r="F37" s="7">
        <f t="shared" si="1"/>
        <v>-0.50565682196018547</v>
      </c>
      <c r="I37" s="9"/>
      <c r="O37" s="9"/>
    </row>
    <row r="38" spans="2:15" x14ac:dyDescent="0.2">
      <c r="B38" s="10">
        <v>708.11666666666679</v>
      </c>
      <c r="D38" s="9">
        <f t="shared" si="0"/>
        <v>-34.910416666666379</v>
      </c>
      <c r="F38" s="7">
        <f t="shared" si="1"/>
        <v>-0.47504016177534464</v>
      </c>
      <c r="I38" s="9"/>
      <c r="O38" s="9"/>
    </row>
    <row r="39" spans="2:15" x14ac:dyDescent="0.2">
      <c r="B39" s="10">
        <v>711.0333333333333</v>
      </c>
      <c r="D39" s="9">
        <f t="shared" si="0"/>
        <v>-31.993749999999864</v>
      </c>
      <c r="F39" s="7">
        <f t="shared" si="1"/>
        <v>-0.4353518985727754</v>
      </c>
      <c r="I39" s="9"/>
      <c r="O39" s="9"/>
    </row>
    <row r="40" spans="2:15" x14ac:dyDescent="0.2">
      <c r="B40" s="10">
        <v>714.0333333333333</v>
      </c>
      <c r="D40" s="9">
        <f t="shared" si="0"/>
        <v>-28.993749999999864</v>
      </c>
      <c r="F40" s="7">
        <f t="shared" si="1"/>
        <v>-0.39452968499298774</v>
      </c>
      <c r="I40" s="9"/>
      <c r="O40" s="9"/>
    </row>
    <row r="41" spans="2:15" x14ac:dyDescent="0.2">
      <c r="B41" s="10">
        <v>716.0333333333333</v>
      </c>
      <c r="D41" s="9">
        <f t="shared" si="0"/>
        <v>-26.993749999999864</v>
      </c>
      <c r="F41" s="7">
        <f t="shared" si="1"/>
        <v>-0.36731487593979595</v>
      </c>
      <c r="I41" s="9"/>
      <c r="O41" s="9"/>
    </row>
    <row r="42" spans="2:15" x14ac:dyDescent="0.2">
      <c r="B42" s="10">
        <v>722.2833333333333</v>
      </c>
      <c r="D42" s="9">
        <f t="shared" si="0"/>
        <v>-20.743749999999864</v>
      </c>
      <c r="F42" s="7">
        <f t="shared" si="1"/>
        <v>-0.28226859764857165</v>
      </c>
      <c r="I42" s="9"/>
      <c r="O42" s="9"/>
    </row>
    <row r="43" spans="2:15" x14ac:dyDescent="0.2">
      <c r="B43" s="10">
        <v>728.11666666666679</v>
      </c>
      <c r="D43" s="9">
        <f t="shared" si="0"/>
        <v>-14.910416666666379</v>
      </c>
      <c r="F43" s="7">
        <f t="shared" si="1"/>
        <v>-0.20289207124342687</v>
      </c>
      <c r="I43" s="9"/>
      <c r="O43" s="9"/>
    </row>
    <row r="44" spans="2:15" x14ac:dyDescent="0.2">
      <c r="B44" s="10">
        <v>728.7</v>
      </c>
      <c r="D44" s="9">
        <f t="shared" si="0"/>
        <v>-14.327083333333121</v>
      </c>
      <c r="F44" s="7">
        <f t="shared" si="1"/>
        <v>-0.19495441860291363</v>
      </c>
      <c r="I44" s="9"/>
      <c r="O44" s="9"/>
    </row>
    <row r="45" spans="2:15" x14ac:dyDescent="0.2">
      <c r="B45" s="10">
        <v>729.0333333333333</v>
      </c>
      <c r="D45" s="9">
        <f t="shared" si="0"/>
        <v>-13.993749999999864</v>
      </c>
      <c r="F45" s="7">
        <f t="shared" si="1"/>
        <v>-0.19041861709404936</v>
      </c>
      <c r="I45" s="9"/>
      <c r="O45" s="9"/>
    </row>
    <row r="46" spans="2:15" x14ac:dyDescent="0.2">
      <c r="B46" s="10">
        <v>730.11666666666679</v>
      </c>
      <c r="D46" s="9">
        <f t="shared" si="0"/>
        <v>-12.910416666666379</v>
      </c>
      <c r="F46" s="7">
        <f t="shared" si="1"/>
        <v>-0.17567726219023511</v>
      </c>
      <c r="I46" s="9"/>
      <c r="O46" s="9"/>
    </row>
    <row r="47" spans="2:15" x14ac:dyDescent="0.2">
      <c r="B47" s="10">
        <v>731.95</v>
      </c>
      <c r="D47" s="9">
        <f t="shared" si="0"/>
        <v>-11.077083333333121</v>
      </c>
      <c r="F47" s="7">
        <f t="shared" si="1"/>
        <v>-0.15073035389147699</v>
      </c>
      <c r="I47" s="9"/>
      <c r="O47" s="9"/>
    </row>
    <row r="48" spans="2:15" x14ac:dyDescent="0.2">
      <c r="B48" s="10">
        <v>735.0333333333333</v>
      </c>
      <c r="D48" s="9">
        <f t="shared" ref="D48:D79" si="2">B48-$B$12</f>
        <v>-7.9937499999998636</v>
      </c>
      <c r="F48" s="7">
        <f t="shared" si="1"/>
        <v>-0.10877418993447403</v>
      </c>
      <c r="I48" s="9"/>
      <c r="O48" s="9"/>
    </row>
    <row r="49" spans="2:15" x14ac:dyDescent="0.2">
      <c r="B49" s="10">
        <v>736.95</v>
      </c>
      <c r="D49" s="9">
        <f t="shared" si="2"/>
        <v>-6.0770833333331211</v>
      </c>
      <c r="F49" s="7">
        <f t="shared" si="1"/>
        <v>-8.2693331258497552E-2</v>
      </c>
      <c r="I49" s="9"/>
      <c r="O49" s="9"/>
    </row>
    <row r="50" spans="2:15" x14ac:dyDescent="0.2">
      <c r="B50" s="10">
        <v>737.36666666666679</v>
      </c>
      <c r="D50" s="9">
        <f t="shared" si="2"/>
        <v>-5.6604166666663787</v>
      </c>
      <c r="F50" s="7">
        <f t="shared" si="1"/>
        <v>-7.7023579372414899E-2</v>
      </c>
      <c r="I50" s="9"/>
      <c r="O50" s="9"/>
    </row>
    <row r="51" spans="2:15" x14ac:dyDescent="0.2">
      <c r="B51" s="10">
        <v>738.2833333333333</v>
      </c>
      <c r="D51" s="9">
        <f t="shared" si="2"/>
        <v>-4.7437499999998636</v>
      </c>
      <c r="F51" s="7">
        <f t="shared" si="1"/>
        <v>-6.4550125223037394E-2</v>
      </c>
      <c r="I51" s="9"/>
      <c r="O51" s="9"/>
    </row>
    <row r="52" spans="2:15" x14ac:dyDescent="0.2">
      <c r="B52" s="10">
        <v>739.7833333333333</v>
      </c>
      <c r="D52" s="9">
        <f t="shared" si="2"/>
        <v>-3.2437499999998636</v>
      </c>
      <c r="F52" s="7">
        <f t="shared" si="1"/>
        <v>-4.4139018433143558E-2</v>
      </c>
      <c r="I52" s="9"/>
      <c r="O52" s="9"/>
    </row>
    <row r="53" spans="2:15" x14ac:dyDescent="0.2">
      <c r="B53" s="10">
        <v>740.61666666666679</v>
      </c>
      <c r="D53" s="9">
        <f t="shared" si="2"/>
        <v>-2.4104166666663787</v>
      </c>
      <c r="F53" s="7">
        <f t="shared" si="1"/>
        <v>-3.2799514660978253E-2</v>
      </c>
      <c r="I53" s="9"/>
      <c r="O53" s="9"/>
    </row>
    <row r="54" spans="2:15" x14ac:dyDescent="0.2">
      <c r="B54" s="10">
        <v>743.61666666666679</v>
      </c>
      <c r="D54" s="9">
        <f t="shared" si="2"/>
        <v>0.58958333333362134</v>
      </c>
      <c r="F54" s="7">
        <f t="shared" si="1"/>
        <v>8.0226989188094122E-3</v>
      </c>
      <c r="I54" s="9"/>
      <c r="O54" s="9"/>
    </row>
    <row r="55" spans="2:15" x14ac:dyDescent="0.2">
      <c r="B55" s="10">
        <v>747.2</v>
      </c>
      <c r="D55" s="9">
        <f t="shared" si="2"/>
        <v>4.1729166666668789</v>
      </c>
      <c r="F55" s="7">
        <f t="shared" si="1"/>
        <v>5.6782565139110321E-2</v>
      </c>
      <c r="I55" s="9"/>
      <c r="O55" s="9"/>
    </row>
    <row r="56" spans="2:15" x14ac:dyDescent="0.2">
      <c r="B56" s="10">
        <v>748.2</v>
      </c>
      <c r="D56" s="9">
        <f t="shared" si="2"/>
        <v>5.1729166666668789</v>
      </c>
      <c r="F56" s="7">
        <f t="shared" si="1"/>
        <v>7.0389969665706209E-2</v>
      </c>
      <c r="I56" s="9"/>
      <c r="O56" s="9"/>
    </row>
    <row r="57" spans="2:15" x14ac:dyDescent="0.2">
      <c r="B57" s="10">
        <v>748.2833333333333</v>
      </c>
      <c r="D57" s="9">
        <f t="shared" si="2"/>
        <v>5.2562500000001364</v>
      </c>
      <c r="F57" s="7">
        <f t="shared" si="1"/>
        <v>7.1523920042921504E-2</v>
      </c>
      <c r="I57" s="9"/>
      <c r="O57" s="9"/>
    </row>
    <row r="58" spans="2:15" x14ac:dyDescent="0.2">
      <c r="B58" s="10">
        <v>748.5333333333333</v>
      </c>
      <c r="D58" s="9">
        <f t="shared" si="2"/>
        <v>5.5062500000001364</v>
      </c>
      <c r="F58" s="7">
        <f t="shared" si="1"/>
        <v>7.4925771174570471E-2</v>
      </c>
      <c r="I58" s="9"/>
      <c r="O58" s="9"/>
    </row>
    <row r="59" spans="2:15" x14ac:dyDescent="0.2">
      <c r="B59" s="10">
        <v>750.0333333333333</v>
      </c>
      <c r="D59" s="9">
        <f t="shared" si="2"/>
        <v>7.0062500000001364</v>
      </c>
      <c r="F59" s="7">
        <f t="shared" si="1"/>
        <v>9.5336877964464301E-2</v>
      </c>
      <c r="I59" s="9"/>
      <c r="O59" s="9"/>
    </row>
    <row r="60" spans="2:15" x14ac:dyDescent="0.2">
      <c r="B60" s="10">
        <v>752.11666666666679</v>
      </c>
      <c r="D60" s="9">
        <f t="shared" si="2"/>
        <v>9.0895833333336213</v>
      </c>
      <c r="F60" s="7">
        <f t="shared" si="1"/>
        <v>0.12368563739487447</v>
      </c>
      <c r="I60" s="9"/>
      <c r="O60" s="9"/>
    </row>
    <row r="61" spans="2:15" x14ac:dyDescent="0.2">
      <c r="B61" s="10">
        <v>754.7</v>
      </c>
      <c r="D61" s="9">
        <f t="shared" si="2"/>
        <v>11.672916666666879</v>
      </c>
      <c r="F61" s="7">
        <f t="shared" si="1"/>
        <v>0.15883809908857949</v>
      </c>
      <c r="I61" s="9"/>
      <c r="O61" s="9"/>
    </row>
    <row r="62" spans="2:15" x14ac:dyDescent="0.2">
      <c r="B62" s="10">
        <v>755.0333333333333</v>
      </c>
      <c r="D62" s="9">
        <f t="shared" si="2"/>
        <v>12.006250000000136</v>
      </c>
      <c r="F62" s="7">
        <f t="shared" si="1"/>
        <v>0.16337390059744375</v>
      </c>
      <c r="I62" s="9"/>
      <c r="O62" s="9"/>
    </row>
    <row r="63" spans="2:15" x14ac:dyDescent="0.2">
      <c r="B63" s="10">
        <v>758.36666666666667</v>
      </c>
      <c r="D63" s="9">
        <f t="shared" si="2"/>
        <v>15.339583333333508</v>
      </c>
      <c r="F63" s="7">
        <f t="shared" si="1"/>
        <v>0.20873191568609722</v>
      </c>
      <c r="I63" s="9"/>
      <c r="O63" s="9"/>
    </row>
    <row r="64" spans="2:15" x14ac:dyDescent="0.2">
      <c r="B64" s="10">
        <v>760.53333333333342</v>
      </c>
      <c r="D64" s="9">
        <f t="shared" si="2"/>
        <v>17.50625000000025</v>
      </c>
      <c r="F64" s="7">
        <f t="shared" si="1"/>
        <v>0.23821462549372269</v>
      </c>
      <c r="I64" s="9"/>
      <c r="O64" s="9"/>
    </row>
    <row r="65" spans="2:15" x14ac:dyDescent="0.2">
      <c r="B65" s="10">
        <v>764.03333333333342</v>
      </c>
      <c r="D65" s="9">
        <f t="shared" si="2"/>
        <v>21.00625000000025</v>
      </c>
      <c r="F65" s="7">
        <f t="shared" si="1"/>
        <v>0.28584054133680831</v>
      </c>
      <c r="I65" s="9"/>
      <c r="O65" s="9"/>
    </row>
    <row r="66" spans="2:15" x14ac:dyDescent="0.2">
      <c r="B66" s="10">
        <v>769.28333333333342</v>
      </c>
      <c r="D66" s="9">
        <f t="shared" si="2"/>
        <v>26.25625000000025</v>
      </c>
      <c r="F66" s="7">
        <f t="shared" si="1"/>
        <v>0.35727941510143674</v>
      </c>
      <c r="I66" s="9"/>
      <c r="O66" s="9"/>
    </row>
    <row r="67" spans="2:15" x14ac:dyDescent="0.2">
      <c r="B67" s="10">
        <v>775.45</v>
      </c>
      <c r="D67" s="9">
        <f t="shared" si="2"/>
        <v>32.422916666666879</v>
      </c>
      <c r="F67" s="7">
        <f t="shared" si="1"/>
        <v>0.44119174301544417</v>
      </c>
      <c r="I67" s="9"/>
      <c r="O67" s="9"/>
    </row>
    <row r="68" spans="2:15" x14ac:dyDescent="0.2">
      <c r="B68" s="10">
        <v>781.2</v>
      </c>
      <c r="D68" s="9">
        <f t="shared" si="2"/>
        <v>38.172916666666879</v>
      </c>
      <c r="F68" s="7">
        <f t="shared" si="1"/>
        <v>0.51943431904337056</v>
      </c>
      <c r="I68" s="9"/>
      <c r="O68" s="9"/>
    </row>
    <row r="69" spans="2:15" x14ac:dyDescent="0.2">
      <c r="B69" s="10">
        <v>781.7</v>
      </c>
      <c r="D69" s="9">
        <f t="shared" si="2"/>
        <v>38.672916666666879</v>
      </c>
      <c r="F69" s="7">
        <f t="shared" si="1"/>
        <v>0.52623802130666852</v>
      </c>
      <c r="I69" s="9"/>
      <c r="O69" s="9"/>
    </row>
    <row r="70" spans="2:15" x14ac:dyDescent="0.2">
      <c r="B70" s="10">
        <v>785.61666666666667</v>
      </c>
      <c r="D70" s="9">
        <f t="shared" si="2"/>
        <v>42.589583333333508</v>
      </c>
      <c r="F70" s="7">
        <f t="shared" si="1"/>
        <v>0.57953368903583524</v>
      </c>
      <c r="I70" s="9"/>
      <c r="O70" s="9"/>
    </row>
    <row r="71" spans="2:15" x14ac:dyDescent="0.2">
      <c r="B71" s="10">
        <v>792.78333333333342</v>
      </c>
      <c r="D71" s="9">
        <f t="shared" si="2"/>
        <v>49.75625000000025</v>
      </c>
      <c r="F71" s="7">
        <f t="shared" si="1"/>
        <v>0.6770534214764401</v>
      </c>
      <c r="I71" s="9"/>
      <c r="O71" s="9"/>
    </row>
    <row r="72" spans="2:15" x14ac:dyDescent="0.2">
      <c r="B72" s="10">
        <v>793.36666666666667</v>
      </c>
      <c r="D72" s="9">
        <f t="shared" si="2"/>
        <v>50.339583333333508</v>
      </c>
      <c r="F72" s="7">
        <f t="shared" si="1"/>
        <v>0.68499107411695337</v>
      </c>
      <c r="I72" s="9"/>
      <c r="O72" s="9"/>
    </row>
    <row r="73" spans="2:15" x14ac:dyDescent="0.2">
      <c r="B73" s="10">
        <v>795.28333333333342</v>
      </c>
      <c r="D73" s="9">
        <f t="shared" si="2"/>
        <v>52.25625000000025</v>
      </c>
      <c r="F73" s="7">
        <f t="shared" si="1"/>
        <v>0.7110719327929298</v>
      </c>
      <c r="I73" s="9"/>
      <c r="O73" s="9"/>
    </row>
    <row r="74" spans="2:15" x14ac:dyDescent="0.2">
      <c r="B74" s="10">
        <v>797.61666666666667</v>
      </c>
      <c r="D74" s="9">
        <f t="shared" si="2"/>
        <v>54.589583333333508</v>
      </c>
      <c r="F74" s="7">
        <f t="shared" si="1"/>
        <v>0.74282254335498588</v>
      </c>
      <c r="I74" s="9"/>
      <c r="O74" s="9"/>
    </row>
    <row r="75" spans="2:15" x14ac:dyDescent="0.2">
      <c r="B75" s="10">
        <v>798.95</v>
      </c>
      <c r="D75" s="9">
        <f t="shared" si="2"/>
        <v>55.922916666666879</v>
      </c>
      <c r="F75" s="7">
        <f t="shared" si="1"/>
        <v>0.76096574939044759</v>
      </c>
      <c r="I75" s="9"/>
      <c r="O75" s="9"/>
    </row>
    <row r="76" spans="2:15" x14ac:dyDescent="0.2">
      <c r="B76" s="10">
        <v>799.7</v>
      </c>
      <c r="D76" s="9">
        <f t="shared" si="2"/>
        <v>56.672916666666879</v>
      </c>
      <c r="F76" s="7">
        <f t="shared" si="1"/>
        <v>0.77117130278539447</v>
      </c>
      <c r="I76" s="9"/>
      <c r="O76" s="9"/>
    </row>
    <row r="77" spans="2:15" x14ac:dyDescent="0.2">
      <c r="B77" s="10">
        <v>799.95</v>
      </c>
      <c r="D77" s="9">
        <f t="shared" si="2"/>
        <v>56.922916666666879</v>
      </c>
      <c r="F77" s="7">
        <f t="shared" si="1"/>
        <v>0.77457315391704351</v>
      </c>
      <c r="I77" s="9"/>
      <c r="O77" s="9"/>
    </row>
    <row r="78" spans="2:15" x14ac:dyDescent="0.2">
      <c r="B78" s="10">
        <v>810.86666666666667</v>
      </c>
      <c r="D78" s="9">
        <f t="shared" si="2"/>
        <v>67.839583333333508</v>
      </c>
      <c r="F78" s="7">
        <f t="shared" si="1"/>
        <v>0.92312065333238147</v>
      </c>
      <c r="I78" s="9"/>
      <c r="O78" s="9"/>
    </row>
    <row r="79" spans="2:15" x14ac:dyDescent="0.2">
      <c r="B79" s="10">
        <v>811.53333333333342</v>
      </c>
      <c r="D79" s="9">
        <f t="shared" si="2"/>
        <v>68.50625000000025</v>
      </c>
      <c r="F79" s="7">
        <f t="shared" si="1"/>
        <v>0.93219225635011305</v>
      </c>
      <c r="I79" s="9"/>
      <c r="O79" s="9"/>
    </row>
    <row r="80" spans="2:15" x14ac:dyDescent="0.2">
      <c r="B80" s="10">
        <v>813.61666666666667</v>
      </c>
      <c r="D80" s="9">
        <f t="shared" ref="D80:D95" si="3">B80-$B$12</f>
        <v>70.589583333333508</v>
      </c>
      <c r="F80" s="7">
        <f t="shared" si="1"/>
        <v>0.96054101578052009</v>
      </c>
      <c r="I80" s="9"/>
      <c r="O80" s="9"/>
    </row>
    <row r="81" spans="2:15" x14ac:dyDescent="0.2">
      <c r="B81" s="10">
        <v>814.03333333333342</v>
      </c>
      <c r="D81" s="9">
        <f t="shared" si="3"/>
        <v>71.00625000000025</v>
      </c>
      <c r="F81" s="7">
        <f t="shared" ref="F81:F95" si="4">D81/$F$12</f>
        <v>0.96621076766660274</v>
      </c>
      <c r="I81" s="9"/>
      <c r="O81" s="9"/>
    </row>
    <row r="82" spans="2:15" x14ac:dyDescent="0.2">
      <c r="B82" s="10">
        <v>814.78333333333342</v>
      </c>
      <c r="D82" s="9">
        <f t="shared" si="3"/>
        <v>71.75625000000025</v>
      </c>
      <c r="F82" s="7">
        <f t="shared" si="4"/>
        <v>0.97641632106154974</v>
      </c>
      <c r="I82" s="9"/>
      <c r="O82" s="9"/>
    </row>
    <row r="83" spans="2:15" x14ac:dyDescent="0.2">
      <c r="B83" s="10">
        <v>817.86666666666667</v>
      </c>
      <c r="D83" s="9">
        <f t="shared" si="3"/>
        <v>74.839583333333508</v>
      </c>
      <c r="F83" s="7">
        <f t="shared" si="4"/>
        <v>1.0183724850185527</v>
      </c>
      <c r="I83" s="9"/>
      <c r="O83" s="9"/>
    </row>
    <row r="84" spans="2:15" x14ac:dyDescent="0.2">
      <c r="B84" s="10">
        <v>818.86666666666667</v>
      </c>
      <c r="D84" s="9">
        <f t="shared" si="3"/>
        <v>75.839583333333508</v>
      </c>
      <c r="F84" s="7">
        <f t="shared" si="4"/>
        <v>1.0319798895451486</v>
      </c>
      <c r="I84" s="9"/>
      <c r="O84" s="9"/>
    </row>
    <row r="85" spans="2:15" x14ac:dyDescent="0.2">
      <c r="B85" s="10">
        <v>820.7</v>
      </c>
      <c r="D85" s="9">
        <f t="shared" si="3"/>
        <v>77.672916666666879</v>
      </c>
      <c r="F85" s="7">
        <f t="shared" si="4"/>
        <v>1.0569267978439081</v>
      </c>
      <c r="I85" s="9"/>
      <c r="O85" s="9"/>
    </row>
    <row r="86" spans="2:15" x14ac:dyDescent="0.2">
      <c r="B86" s="10">
        <v>821.11666666666667</v>
      </c>
      <c r="D86" s="9">
        <f t="shared" si="3"/>
        <v>78.089583333333508</v>
      </c>
      <c r="F86" s="7">
        <f t="shared" si="4"/>
        <v>1.0625965497299894</v>
      </c>
      <c r="I86" s="9"/>
      <c r="O86" s="9"/>
    </row>
    <row r="87" spans="2:15" x14ac:dyDescent="0.2">
      <c r="B87" s="10">
        <v>825.61666666666667</v>
      </c>
      <c r="D87" s="9">
        <f t="shared" si="3"/>
        <v>82.589583333333508</v>
      </c>
      <c r="F87" s="7">
        <f t="shared" si="4"/>
        <v>1.1238298700996707</v>
      </c>
      <c r="I87" s="9"/>
      <c r="O87" s="9"/>
    </row>
    <row r="88" spans="2:15" x14ac:dyDescent="0.2">
      <c r="B88" s="10">
        <v>828.61666666666667</v>
      </c>
      <c r="D88" s="9">
        <f t="shared" si="3"/>
        <v>85.589583333333508</v>
      </c>
      <c r="F88" s="7">
        <f t="shared" si="4"/>
        <v>1.1646520836794585</v>
      </c>
      <c r="I88" s="9"/>
      <c r="O88" s="9"/>
    </row>
    <row r="89" spans="2:15" x14ac:dyDescent="0.2">
      <c r="B89" s="10">
        <v>841.45</v>
      </c>
      <c r="D89" s="9">
        <f t="shared" si="3"/>
        <v>98.422916666666879</v>
      </c>
      <c r="F89" s="7">
        <f t="shared" si="4"/>
        <v>1.3392804417707729</v>
      </c>
      <c r="I89" s="9"/>
      <c r="O89" s="9"/>
    </row>
    <row r="90" spans="2:15" x14ac:dyDescent="0.2">
      <c r="B90" s="10">
        <v>842.03333333333342</v>
      </c>
      <c r="D90" s="9">
        <f t="shared" si="3"/>
        <v>99.00625000000025</v>
      </c>
      <c r="F90" s="7">
        <f t="shared" si="4"/>
        <v>1.3472180944112877</v>
      </c>
      <c r="I90" s="9"/>
      <c r="O90" s="9"/>
    </row>
    <row r="91" spans="2:15" x14ac:dyDescent="0.2">
      <c r="B91" s="10">
        <v>842.86666666666667</v>
      </c>
      <c r="D91" s="9">
        <f t="shared" si="3"/>
        <v>99.839583333333508</v>
      </c>
      <c r="F91" s="7">
        <f t="shared" si="4"/>
        <v>1.3585575981834499</v>
      </c>
      <c r="I91" s="9"/>
      <c r="O91" s="9"/>
    </row>
    <row r="92" spans="2:15" x14ac:dyDescent="0.2">
      <c r="B92" s="10">
        <v>849.61666666666667</v>
      </c>
      <c r="D92" s="9">
        <f t="shared" si="3"/>
        <v>106.58958333333351</v>
      </c>
      <c r="F92" s="7">
        <f t="shared" si="4"/>
        <v>1.4504075787379722</v>
      </c>
      <c r="I92" s="9"/>
      <c r="O92" s="9"/>
    </row>
    <row r="93" spans="2:15" x14ac:dyDescent="0.2">
      <c r="B93" s="10">
        <v>874.7</v>
      </c>
      <c r="D93" s="9">
        <f t="shared" si="3"/>
        <v>131.67291666666688</v>
      </c>
      <c r="F93" s="7">
        <f t="shared" si="4"/>
        <v>1.7917266422800862</v>
      </c>
      <c r="I93" s="9"/>
      <c r="O93" s="9"/>
    </row>
    <row r="94" spans="2:15" x14ac:dyDescent="0.2">
      <c r="B94" s="10">
        <v>878.78333333333342</v>
      </c>
      <c r="D94" s="9">
        <f t="shared" si="3"/>
        <v>135.75625000000025</v>
      </c>
      <c r="F94" s="7">
        <f t="shared" si="4"/>
        <v>1.8472902107636866</v>
      </c>
      <c r="I94" s="9"/>
      <c r="O94" s="9"/>
    </row>
    <row r="95" spans="2:15" x14ac:dyDescent="0.2">
      <c r="B95" s="11">
        <v>897.45</v>
      </c>
      <c r="D95" s="11">
        <f t="shared" si="3"/>
        <v>154.42291666666688</v>
      </c>
      <c r="F95" s="11">
        <f t="shared" si="4"/>
        <v>2.1012950952601428</v>
      </c>
      <c r="I95" s="9"/>
      <c r="O95" s="9"/>
    </row>
  </sheetData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Standard normal</vt:lpstr>
      <vt:lpstr>'Standard normal'!Print_Area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2026-06-05T18:34:54Z</cp:lastPrinted>
  <dcterms:created xsi:type="dcterms:W3CDTF">2017-05-03T15:18:51Z</dcterms:created>
  <dcterms:modified xsi:type="dcterms:W3CDTF">2026-06-05T18:34:59Z</dcterms:modified>
</cp:coreProperties>
</file>