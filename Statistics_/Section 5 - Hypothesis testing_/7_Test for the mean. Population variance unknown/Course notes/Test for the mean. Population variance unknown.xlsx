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5 - Hypothesis testing_\7_Test for the mean. Population variance unknown\Course notes\"/>
    </mc:Choice>
  </mc:AlternateContent>
  <xr:revisionPtr revIDLastSave="0" documentId="13_ncr:1_{CE811CA8-7C19-45BF-902A-08A1ACD1DE5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Open rate dataset" sheetId="1" r:id="rId1"/>
    <sheet name="Mor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10" i="1" s="1"/>
  <c r="I10" i="1"/>
  <c r="E6" i="1"/>
  <c r="E7" i="1" s="1"/>
</calcChain>
</file>

<file path=xl/sharedStrings.xml><?xml version="1.0" encoding="utf-8"?>
<sst xmlns="http://schemas.openxmlformats.org/spreadsheetml/2006/main" count="41" uniqueCount="33">
  <si>
    <t>p-value</t>
  </si>
  <si>
    <t>Open rate</t>
  </si>
  <si>
    <t>Standard error</t>
  </si>
  <si>
    <t>Null hypothesis value</t>
  </si>
  <si>
    <t>Tests</t>
  </si>
  <si>
    <t>Email spying example</t>
  </si>
  <si>
    <t>T-score</t>
  </si>
  <si>
    <t>Email</t>
  </si>
  <si>
    <t>Click rate</t>
  </si>
  <si>
    <t>Sends</t>
  </si>
  <si>
    <t>Unsubscribes</t>
  </si>
  <si>
    <t>Welcome email C1</t>
  </si>
  <si>
    <t>Delivered immediately</t>
  </si>
  <si>
    <t>Welcome email C2</t>
  </si>
  <si>
    <t>Free content C1</t>
  </si>
  <si>
    <t>Free content C2</t>
  </si>
  <si>
    <t>Promotion C1</t>
  </si>
  <si>
    <t>Welcome email C3</t>
  </si>
  <si>
    <t>Promotion C2</t>
  </si>
  <si>
    <t>Promotion C3</t>
  </si>
  <si>
    <t>Welcome email C4</t>
  </si>
  <si>
    <t>Welcome email C5</t>
  </si>
  <si>
    <t>Delivered 1 day after last email</t>
  </si>
  <si>
    <t>Delivered 2 days after last email</t>
  </si>
  <si>
    <t>Sample mean</t>
  </si>
  <si>
    <t>Sample standard dev</t>
  </si>
  <si>
    <t>Photo from facebook</t>
  </si>
  <si>
    <t>Test for the mean. Population variance unknown</t>
  </si>
  <si>
    <r>
      <t xml:space="preserve">t </t>
    </r>
    <r>
      <rPr>
        <b/>
        <vertAlign val="subscript"/>
        <sz val="9"/>
        <color rgb="FF002060"/>
        <rFont val="Arial"/>
        <family val="2"/>
      </rPr>
      <t>9, 5% significance</t>
    </r>
  </si>
  <si>
    <t>If you were interested in the data from the photo - here it is.</t>
  </si>
  <si>
    <r>
      <t xml:space="preserve">t </t>
    </r>
    <r>
      <rPr>
        <b/>
        <vertAlign val="subscript"/>
        <sz val="9"/>
        <color rgb="FF002060"/>
        <rFont val="Arial"/>
        <family val="2"/>
      </rPr>
      <t>9, 1% significance</t>
    </r>
  </si>
  <si>
    <t>One-sided</t>
  </si>
  <si>
    <t>Two-sided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</si>
</sst>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%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12"/>
      <color rgb="FF000000"/>
      <name val="Arial"/>
      <family val="2"/>
    </font>
    <font>
      <i/>
      <sz val="9"/>
      <color rgb="FF000000"/>
      <name val="Arial"/>
      <family val="2"/>
    </font>
    <font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2" xfId="0" applyFont="1" applyFill="1" applyBorder="1"/>
    <xf numFmtId="9" fontId="2" fillId="2" borderId="0" xfId="1" applyFont="1" applyFill="1"/>
    <xf numFmtId="9" fontId="2" fillId="2" borderId="2" xfId="1" applyFont="1" applyFill="1" applyBorder="1"/>
    <xf numFmtId="0" fontId="3" fillId="2" borderId="1" xfId="0" applyFont="1" applyFill="1" applyBorder="1" applyAlignment="1">
      <alignment horizontal="right"/>
    </xf>
    <xf numFmtId="10" fontId="2" fillId="2" borderId="0" xfId="1" applyNumberFormat="1" applyFont="1" applyFill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/>
    <xf numFmtId="0" fontId="3" fillId="2" borderId="2" xfId="0" applyFont="1" applyFill="1" applyBorder="1"/>
    <xf numFmtId="165" fontId="2" fillId="2" borderId="2" xfId="0" applyNumberFormat="1" applyFont="1" applyFill="1" applyBorder="1"/>
    <xf numFmtId="166" fontId="2" fillId="2" borderId="0" xfId="0" applyNumberFormat="1" applyFont="1" applyFill="1"/>
    <xf numFmtId="0" fontId="2" fillId="2" borderId="0" xfId="0" applyFont="1" applyFill="1" applyBorder="1"/>
    <xf numFmtId="9" fontId="5" fillId="2" borderId="0" xfId="0" applyNumberFormat="1" applyFont="1" applyFill="1" applyBorder="1" applyAlignment="1">
      <alignment horizontal="center" readingOrder="1"/>
    </xf>
    <xf numFmtId="10" fontId="5" fillId="2" borderId="0" xfId="0" applyNumberFormat="1" applyFont="1" applyFill="1" applyBorder="1" applyAlignment="1">
      <alignment horizontal="center" readingOrder="1"/>
    </xf>
    <xf numFmtId="167" fontId="5" fillId="2" borderId="0" xfId="2" applyNumberFormat="1" applyFont="1" applyFill="1" applyBorder="1" applyAlignment="1">
      <alignment horizontal="center" readingOrder="1"/>
    </xf>
    <xf numFmtId="0" fontId="0" fillId="2" borderId="0" xfId="0" applyFill="1" applyBorder="1" applyAlignment="1">
      <alignment horizontal="center"/>
    </xf>
    <xf numFmtId="167" fontId="0" fillId="2" borderId="0" xfId="2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readingOrder="1"/>
    </xf>
    <xf numFmtId="0" fontId="6" fillId="2" borderId="0" xfId="0" applyFont="1" applyFill="1" applyBorder="1" applyAlignment="1">
      <alignment readingOrder="1"/>
    </xf>
    <xf numFmtId="0" fontId="7" fillId="2" borderId="0" xfId="0" applyFont="1" applyFill="1" applyBorder="1" applyAlignment="1">
      <alignment readingOrder="1"/>
    </xf>
    <xf numFmtId="0" fontId="0" fillId="2" borderId="0" xfId="0" applyFill="1"/>
    <xf numFmtId="9" fontId="2" fillId="2" borderId="0" xfId="1" applyFont="1" applyFill="1" applyBorder="1"/>
    <xf numFmtId="0" fontId="4" fillId="2" borderId="0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387350</xdr:colOff>
      <xdr:row>16</xdr:row>
      <xdr:rowOff>25400</xdr:rowOff>
    </xdr:from>
    <xdr:to>
      <xdr:col>6</xdr:col>
      <xdr:colOff>69850</xdr:colOff>
      <xdr:row>19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4C8AD7-EA83-4644-B05A-FA6E1088AC6A}"/>
            </a:ext>
          </a:extLst>
        </xdr:cNvPr>
        <xdr:cNvSpPr txBox="1"/>
      </xdr:nvSpPr>
      <xdr:spPr>
        <a:xfrm>
          <a:off x="527050" y="2501900"/>
          <a:ext cx="45656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A </a:t>
          </a:r>
          <a:r>
            <a:rPr lang="en-GB" b="1"/>
            <a:t>t-score</a:t>
          </a:r>
          <a:r>
            <a:rPr lang="en-GB"/>
            <a:t> (also called a </a:t>
          </a:r>
          <a:r>
            <a:rPr lang="en-GB" b="1"/>
            <a:t>t-statistic</a:t>
          </a:r>
          <a:r>
            <a:rPr lang="en-GB"/>
            <a:t>) tells you how far your sample’s average is from the expected population average, measured in units of standard error.</a:t>
          </a:r>
          <a:endParaRPr lang="en-GB" sz="1100"/>
        </a:p>
      </xdr:txBody>
    </xdr:sp>
    <xdr:clientData/>
  </xdr:twoCellAnchor>
  <xdr:twoCellAnchor editAs="oneCell">
    <xdr:from>
      <xdr:col>6</xdr:col>
      <xdr:colOff>285750</xdr:colOff>
      <xdr:row>16</xdr:row>
      <xdr:rowOff>19050</xdr:rowOff>
    </xdr:from>
    <xdr:to>
      <xdr:col>8</xdr:col>
      <xdr:colOff>161731</xdr:colOff>
      <xdr:row>23</xdr:row>
      <xdr:rowOff>72890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AD6C0-3059-4382-BA44-11861F6EA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8600" y="2495550"/>
          <a:ext cx="1552381" cy="107619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</xdr:col>
      <xdr:colOff>355600</xdr:colOff>
      <xdr:row>22</xdr:row>
      <xdr:rowOff>12700</xdr:rowOff>
    </xdr:from>
    <xdr:to>
      <xdr:col>6</xdr:col>
      <xdr:colOff>139700</xdr:colOff>
      <xdr:row>30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0AD36D-6129-4D47-B564-1AD4FDC21B5D}"/>
            </a:ext>
          </a:extLst>
        </xdr:cNvPr>
        <xdr:cNvSpPr txBox="1"/>
      </xdr:nvSpPr>
      <xdr:spPr>
        <a:xfrm>
          <a:off x="495300" y="3365500"/>
          <a:ext cx="466725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 data</a:t>
          </a:r>
          <a:r>
            <a:rPr lang="en-GB" sz="1100" baseline="0"/>
            <a:t> shows that the sample mean is only around (-0.53) standard deviations from the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hypothesized</a:t>
          </a:r>
          <a:r>
            <a:rPr lang="en-GB" sz="1100" baseline="0"/>
            <a:t> mean. Furthermore, since the the p-value (2-sided) is greater than 0.005 so we fail to reject the null hypothesis and conclude that the average opening rate is 40% (our Null hypothesis). Another view is that the test statistic is not in the critical zone of the criticl value of +-2.26 so the Null hypothesis is not rejected</a:t>
          </a:r>
          <a:endParaRPr lang="en-GB" sz="1100"/>
        </a:p>
      </xdr:txBody>
    </xdr:sp>
    <xdr:clientData/>
  </xdr:twoCellAnchor>
  <xdr:twoCellAnchor editAs="oneCell">
    <xdr:from>
      <xdr:col>1</xdr:col>
      <xdr:colOff>215900</xdr:colOff>
      <xdr:row>34</xdr:row>
      <xdr:rowOff>19051</xdr:rowOff>
    </xdr:from>
    <xdr:to>
      <xdr:col>9</xdr:col>
      <xdr:colOff>520991</xdr:colOff>
      <xdr:row>46</xdr:row>
      <xdr:rowOff>50801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711BE5-E05E-43F8-959E-F86C66D8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600" y="5124451"/>
          <a:ext cx="7474241" cy="178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5"/>
  <sheetViews>
    <sheetView tabSelected="1" zoomScale="120" zoomScaleNormal="120" workbookViewId="0">
      <selection activeCell="L48" sqref="L48"/>
    </sheetView>
  </sheetViews>
  <sheetFormatPr defaultRowHeight="11.4" x14ac:dyDescent="0.2"/>
  <cols>
    <col min="1" max="1" width="2" style="1" customWidth="1"/>
    <col min="2" max="2" width="10.6640625" style="1" customWidth="1"/>
    <col min="3" max="3" width="22.6640625" style="1" bestFit="1" customWidth="1"/>
    <col min="4" max="4" width="17.88671875" style="1" bestFit="1" customWidth="1"/>
    <col min="5" max="5" width="10.88671875" style="1" bestFit="1" customWidth="1"/>
    <col min="6" max="6" width="9.109375" style="1" bestFit="1" customWidth="1"/>
    <col min="7" max="7" width="15.5546875" style="1" bestFit="1" customWidth="1"/>
    <col min="8" max="16384" width="8.88671875" style="1"/>
  </cols>
  <sheetData>
    <row r="1" spans="2:13" ht="15.6" x14ac:dyDescent="0.3">
      <c r="B1" s="3" t="s">
        <v>27</v>
      </c>
    </row>
    <row r="2" spans="2:13" ht="12" x14ac:dyDescent="0.25">
      <c r="B2" s="2" t="s">
        <v>5</v>
      </c>
    </row>
    <row r="4" spans="2:13" ht="12.6" thickBot="1" x14ac:dyDescent="0.3">
      <c r="B4" s="7" t="s">
        <v>1</v>
      </c>
    </row>
    <row r="5" spans="2:13" ht="12" x14ac:dyDescent="0.25">
      <c r="B5" s="5">
        <v>0.26</v>
      </c>
      <c r="C5" s="13"/>
      <c r="D5" s="2" t="s">
        <v>24</v>
      </c>
      <c r="E5" s="8">
        <f>AVERAGE(B5:B14)</f>
        <v>0.37699999999999995</v>
      </c>
      <c r="G5" s="2" t="s">
        <v>4</v>
      </c>
    </row>
    <row r="6" spans="2:13" ht="12" x14ac:dyDescent="0.25">
      <c r="B6" s="5">
        <v>0.23</v>
      </c>
      <c r="C6" s="13"/>
      <c r="D6" s="2" t="s">
        <v>25</v>
      </c>
      <c r="E6" s="8">
        <f>_xlfn.STDEV.S(B5:B14)</f>
        <v>0.13736002976767953</v>
      </c>
    </row>
    <row r="7" spans="2:13" ht="12.6" thickBot="1" x14ac:dyDescent="0.3">
      <c r="B7" s="5">
        <v>0.42</v>
      </c>
      <c r="C7" s="13"/>
      <c r="D7" s="2" t="s">
        <v>2</v>
      </c>
      <c r="E7" s="8">
        <f>E6/SQRT(10)</f>
        <v>4.3437055353439655E-2</v>
      </c>
      <c r="G7" s="7"/>
      <c r="H7" s="7" t="s">
        <v>31</v>
      </c>
      <c r="I7" s="7" t="s">
        <v>32</v>
      </c>
    </row>
    <row r="8" spans="2:13" ht="13.2" x14ac:dyDescent="0.3">
      <c r="B8" s="5">
        <v>0.49</v>
      </c>
      <c r="C8" s="13"/>
      <c r="G8" s="2" t="s">
        <v>28</v>
      </c>
      <c r="H8" s="1">
        <v>1.83</v>
      </c>
      <c r="I8" s="1">
        <v>2.2599999999999998</v>
      </c>
      <c r="J8" s="9"/>
      <c r="M8" s="9"/>
    </row>
    <row r="9" spans="2:13" ht="13.2" x14ac:dyDescent="0.3">
      <c r="B9" s="5">
        <v>0.23</v>
      </c>
      <c r="C9" s="13"/>
      <c r="D9" s="2" t="s">
        <v>3</v>
      </c>
      <c r="E9" s="5">
        <v>0.4</v>
      </c>
      <c r="G9" s="2" t="s">
        <v>30</v>
      </c>
      <c r="H9" s="1">
        <v>2.82</v>
      </c>
      <c r="I9" s="1">
        <v>3.25</v>
      </c>
    </row>
    <row r="10" spans="2:13" ht="12" x14ac:dyDescent="0.25">
      <c r="B10" s="5">
        <v>0.59</v>
      </c>
      <c r="C10" s="13"/>
      <c r="D10" s="2" t="s">
        <v>6</v>
      </c>
      <c r="E10" s="10">
        <f>(E5-E9)/E7</f>
        <v>-0.5295018231059434</v>
      </c>
      <c r="G10" s="11" t="s">
        <v>0</v>
      </c>
      <c r="H10" s="4">
        <v>0.30399999999999999</v>
      </c>
      <c r="I10" s="12">
        <f>2*H10</f>
        <v>0.60799999999999998</v>
      </c>
    </row>
    <row r="11" spans="2:13" x14ac:dyDescent="0.2">
      <c r="B11" s="5">
        <v>0.28999999999999998</v>
      </c>
      <c r="C11" s="13"/>
    </row>
    <row r="12" spans="2:13" x14ac:dyDescent="0.2">
      <c r="B12" s="5">
        <v>0.28999999999999998</v>
      </c>
      <c r="C12" s="13"/>
    </row>
    <row r="13" spans="2:13" x14ac:dyDescent="0.2">
      <c r="B13" s="5">
        <v>0.56999999999999995</v>
      </c>
      <c r="C13" s="13"/>
    </row>
    <row r="14" spans="2:13" x14ac:dyDescent="0.2">
      <c r="B14" s="6">
        <v>0.4</v>
      </c>
      <c r="C14" s="13"/>
    </row>
    <row r="26" spans="10:10" x14ac:dyDescent="0.2">
      <c r="J26" s="14"/>
    </row>
    <row r="27" spans="10:10" x14ac:dyDescent="0.2">
      <c r="J27" s="14"/>
    </row>
    <row r="28" spans="10:10" x14ac:dyDescent="0.2">
      <c r="J28" s="14"/>
    </row>
    <row r="29" spans="10:10" x14ac:dyDescent="0.2">
      <c r="J29" s="14"/>
    </row>
    <row r="30" spans="10:10" x14ac:dyDescent="0.2">
      <c r="J30" s="14"/>
    </row>
    <row r="31" spans="10:10" x14ac:dyDescent="0.2">
      <c r="J31" s="14"/>
    </row>
    <row r="32" spans="10:10" x14ac:dyDescent="0.2">
      <c r="J32" s="14"/>
    </row>
    <row r="33" spans="10:10" x14ac:dyDescent="0.2">
      <c r="J33" s="14"/>
    </row>
    <row r="34" spans="10:10" x14ac:dyDescent="0.2">
      <c r="J34" s="14"/>
    </row>
    <row r="35" spans="10:10" x14ac:dyDescent="0.2">
      <c r="J35" s="14"/>
    </row>
  </sheetData>
  <sortState xmlns:xlrd2="http://schemas.microsoft.com/office/spreadsheetml/2017/richdata2" ref="B22:I41">
    <sortCondition descending="1" ref="I4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activeCell="B41" sqref="B41"/>
    </sheetView>
  </sheetViews>
  <sheetFormatPr defaultRowHeight="14.4" x14ac:dyDescent="0.3"/>
  <cols>
    <col min="1" max="1" width="2" style="23" customWidth="1"/>
    <col min="2" max="2" width="24.77734375" style="23" bestFit="1" customWidth="1"/>
    <col min="3" max="3" width="11.5546875" style="23" customWidth="1"/>
    <col min="4" max="4" width="14.5546875" style="23" customWidth="1"/>
    <col min="5" max="5" width="11" style="23" customWidth="1"/>
    <col min="6" max="6" width="17.21875" style="23" customWidth="1"/>
    <col min="7" max="16384" width="8.88671875" style="23"/>
  </cols>
  <sheetData>
    <row r="1" spans="1:8" ht="15.6" x14ac:dyDescent="0.3">
      <c r="A1" s="14"/>
      <c r="B1" s="25" t="s">
        <v>26</v>
      </c>
      <c r="C1" s="14"/>
      <c r="D1" s="14"/>
      <c r="E1" s="14"/>
      <c r="F1" s="14"/>
      <c r="G1" s="14"/>
      <c r="H1" s="14"/>
    </row>
    <row r="2" spans="1:8" x14ac:dyDescent="0.3">
      <c r="A2" s="14"/>
      <c r="B2" s="14" t="s">
        <v>29</v>
      </c>
      <c r="C2" s="14"/>
      <c r="D2" s="14"/>
      <c r="E2" s="14"/>
      <c r="F2" s="14"/>
      <c r="G2" s="14"/>
      <c r="H2" s="14"/>
    </row>
    <row r="3" spans="1:8" x14ac:dyDescent="0.3">
      <c r="A3" s="14"/>
      <c r="B3" s="14"/>
      <c r="C3" s="14"/>
      <c r="D3" s="14"/>
      <c r="E3" s="14"/>
      <c r="F3" s="14"/>
      <c r="G3" s="14"/>
      <c r="H3" s="14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ht="16.2" thickBot="1" x14ac:dyDescent="0.35">
      <c r="A5" s="14"/>
      <c r="B5" s="20" t="s">
        <v>7</v>
      </c>
      <c r="C5" s="20" t="s">
        <v>1</v>
      </c>
      <c r="D5" s="20" t="s">
        <v>8</v>
      </c>
      <c r="E5" s="20" t="s">
        <v>9</v>
      </c>
      <c r="F5" s="20" t="s">
        <v>10</v>
      </c>
      <c r="G5" s="14"/>
      <c r="H5" s="14"/>
    </row>
    <row r="6" spans="1:8" ht="15.6" x14ac:dyDescent="0.3">
      <c r="A6" s="14"/>
      <c r="B6" s="22" t="s">
        <v>11</v>
      </c>
      <c r="C6" s="15">
        <v>0.26</v>
      </c>
      <c r="D6" s="16">
        <v>0.154</v>
      </c>
      <c r="E6" s="17">
        <v>12304</v>
      </c>
      <c r="F6" s="17">
        <v>31</v>
      </c>
      <c r="G6" s="24"/>
      <c r="H6" s="14"/>
    </row>
    <row r="7" spans="1:8" x14ac:dyDescent="0.3">
      <c r="A7" s="14"/>
      <c r="B7" s="21" t="s">
        <v>12</v>
      </c>
      <c r="C7" s="18"/>
      <c r="D7" s="18"/>
      <c r="E7" s="19"/>
      <c r="F7" s="19"/>
      <c r="G7" s="24"/>
      <c r="H7" s="14"/>
    </row>
    <row r="8" spans="1:8" ht="15.6" x14ac:dyDescent="0.3">
      <c r="A8" s="14"/>
      <c r="B8" s="22" t="s">
        <v>13</v>
      </c>
      <c r="C8" s="15">
        <v>0.23</v>
      </c>
      <c r="D8" s="16">
        <v>6.2E-2</v>
      </c>
      <c r="E8" s="17">
        <v>13401</v>
      </c>
      <c r="F8" s="17">
        <v>10</v>
      </c>
      <c r="G8" s="24"/>
      <c r="H8" s="14"/>
    </row>
    <row r="9" spans="1:8" x14ac:dyDescent="0.3">
      <c r="A9" s="14"/>
      <c r="B9" s="21" t="s">
        <v>12</v>
      </c>
      <c r="C9" s="18"/>
      <c r="D9" s="18"/>
      <c r="E9" s="19"/>
      <c r="F9" s="19"/>
      <c r="G9" s="24"/>
      <c r="H9" s="14"/>
    </row>
    <row r="10" spans="1:8" ht="15.6" x14ac:dyDescent="0.3">
      <c r="A10" s="14"/>
      <c r="B10" s="22" t="s">
        <v>14</v>
      </c>
      <c r="C10" s="15">
        <v>0.42</v>
      </c>
      <c r="D10" s="16">
        <v>0.318</v>
      </c>
      <c r="E10" s="17">
        <v>9352</v>
      </c>
      <c r="F10" s="17">
        <v>47</v>
      </c>
      <c r="G10" s="24"/>
      <c r="H10" s="14"/>
    </row>
    <row r="11" spans="1:8" ht="15.6" x14ac:dyDescent="0.3">
      <c r="A11" s="14"/>
      <c r="B11" s="21" t="s">
        <v>22</v>
      </c>
      <c r="C11" s="15"/>
      <c r="D11" s="16"/>
      <c r="E11" s="17"/>
      <c r="F11" s="17"/>
      <c r="G11" s="24"/>
      <c r="H11" s="14"/>
    </row>
    <row r="12" spans="1:8" ht="15.6" x14ac:dyDescent="0.3">
      <c r="A12" s="14"/>
      <c r="B12" s="22" t="s">
        <v>15</v>
      </c>
      <c r="C12" s="15">
        <v>0.49</v>
      </c>
      <c r="D12" s="16">
        <v>0.443</v>
      </c>
      <c r="E12" s="17">
        <v>10853</v>
      </c>
      <c r="F12" s="17">
        <v>17.2</v>
      </c>
      <c r="G12" s="24"/>
      <c r="H12" s="14"/>
    </row>
    <row r="13" spans="1:8" ht="15.6" x14ac:dyDescent="0.3">
      <c r="A13" s="14"/>
      <c r="B13" s="21" t="s">
        <v>23</v>
      </c>
      <c r="C13" s="15"/>
      <c r="D13" s="16"/>
      <c r="E13" s="17"/>
      <c r="F13" s="17"/>
      <c r="G13" s="24"/>
      <c r="H13" s="14"/>
    </row>
    <row r="14" spans="1:8" ht="15.6" x14ac:dyDescent="0.3">
      <c r="A14" s="14"/>
      <c r="B14" s="22" t="s">
        <v>16</v>
      </c>
      <c r="C14" s="15">
        <v>0.23</v>
      </c>
      <c r="D14" s="16">
        <v>0.18</v>
      </c>
      <c r="E14" s="17">
        <v>8122</v>
      </c>
      <c r="F14" s="17">
        <v>49</v>
      </c>
      <c r="G14" s="24"/>
      <c r="H14" s="14"/>
    </row>
    <row r="15" spans="1:8" ht="15.6" x14ac:dyDescent="0.3">
      <c r="A15" s="14"/>
      <c r="B15" s="21" t="s">
        <v>22</v>
      </c>
      <c r="C15" s="15"/>
      <c r="D15" s="16"/>
      <c r="E15" s="17"/>
      <c r="F15" s="17"/>
      <c r="G15" s="24"/>
      <c r="H15" s="14"/>
    </row>
    <row r="16" spans="1:8" ht="15.6" x14ac:dyDescent="0.3">
      <c r="A16" s="14"/>
      <c r="B16" s="22" t="s">
        <v>17</v>
      </c>
      <c r="C16" s="15">
        <v>0.59</v>
      </c>
      <c r="D16" s="16">
        <v>0.22</v>
      </c>
      <c r="E16" s="17">
        <v>16655</v>
      </c>
      <c r="F16" s="17">
        <v>27</v>
      </c>
      <c r="G16" s="24"/>
      <c r="H16" s="14"/>
    </row>
    <row r="17" spans="1:8" x14ac:dyDescent="0.3">
      <c r="A17" s="14"/>
      <c r="B17" s="21" t="s">
        <v>12</v>
      </c>
      <c r="C17" s="18"/>
      <c r="D17" s="18"/>
      <c r="E17" s="19"/>
      <c r="F17" s="19"/>
      <c r="G17" s="24"/>
      <c r="H17" s="14"/>
    </row>
    <row r="18" spans="1:8" ht="15.6" x14ac:dyDescent="0.3">
      <c r="A18" s="14"/>
      <c r="B18" s="22" t="s">
        <v>18</v>
      </c>
      <c r="C18" s="15">
        <v>0.28999999999999998</v>
      </c>
      <c r="D18" s="16">
        <v>0.32100000000000001</v>
      </c>
      <c r="E18" s="17">
        <v>8281</v>
      </c>
      <c r="F18" s="17">
        <v>22</v>
      </c>
      <c r="G18" s="24"/>
      <c r="H18" s="14"/>
    </row>
    <row r="19" spans="1:8" ht="15.6" x14ac:dyDescent="0.3">
      <c r="A19" s="14"/>
      <c r="B19" s="21" t="s">
        <v>22</v>
      </c>
      <c r="C19" s="15"/>
      <c r="D19" s="16"/>
      <c r="E19" s="17"/>
      <c r="F19" s="17"/>
      <c r="G19" s="24"/>
      <c r="H19" s="14"/>
    </row>
    <row r="20" spans="1:8" ht="15.6" x14ac:dyDescent="0.3">
      <c r="A20" s="14"/>
      <c r="B20" s="22" t="s">
        <v>19</v>
      </c>
      <c r="C20" s="15">
        <v>0.28999999999999998</v>
      </c>
      <c r="D20" s="16">
        <v>0.307</v>
      </c>
      <c r="E20" s="17">
        <v>14992</v>
      </c>
      <c r="F20" s="17">
        <v>47</v>
      </c>
      <c r="G20" s="24"/>
      <c r="H20" s="14"/>
    </row>
    <row r="21" spans="1:8" ht="15.6" x14ac:dyDescent="0.3">
      <c r="A21" s="14"/>
      <c r="B21" s="21" t="s">
        <v>23</v>
      </c>
      <c r="C21" s="15"/>
      <c r="D21" s="16"/>
      <c r="E21" s="17"/>
      <c r="F21" s="17"/>
      <c r="G21" s="24"/>
      <c r="H21" s="14"/>
    </row>
    <row r="22" spans="1:8" ht="15.6" x14ac:dyDescent="0.3">
      <c r="A22" s="14"/>
      <c r="B22" s="22" t="s">
        <v>20</v>
      </c>
      <c r="C22" s="15">
        <v>0.56999999999999995</v>
      </c>
      <c r="D22" s="16">
        <v>0.34200000000000003</v>
      </c>
      <c r="E22" s="17">
        <v>12234</v>
      </c>
      <c r="F22" s="17">
        <v>49</v>
      </c>
      <c r="G22" s="24"/>
      <c r="H22" s="14"/>
    </row>
    <row r="23" spans="1:8" x14ac:dyDescent="0.3">
      <c r="A23" s="14"/>
      <c r="B23" s="21" t="s">
        <v>12</v>
      </c>
      <c r="C23" s="18"/>
      <c r="D23" s="18"/>
      <c r="E23" s="19"/>
      <c r="F23" s="19"/>
      <c r="G23" s="24"/>
      <c r="H23" s="14"/>
    </row>
    <row r="24" spans="1:8" ht="15.6" x14ac:dyDescent="0.3">
      <c r="A24" s="14"/>
      <c r="B24" s="22" t="s">
        <v>21</v>
      </c>
      <c r="C24" s="15">
        <v>0.4</v>
      </c>
      <c r="D24" s="16">
        <v>0.24299999999999999</v>
      </c>
      <c r="E24" s="17">
        <v>19921</v>
      </c>
      <c r="F24" s="17">
        <v>40</v>
      </c>
      <c r="G24" s="24"/>
      <c r="H24" s="14"/>
    </row>
    <row r="25" spans="1:8" x14ac:dyDescent="0.3">
      <c r="A25" s="14"/>
      <c r="B25" s="21" t="s">
        <v>12</v>
      </c>
      <c r="C25" s="14"/>
      <c r="D25" s="14"/>
      <c r="E25" s="14"/>
      <c r="F25" s="14"/>
      <c r="G25" s="14"/>
      <c r="H25" s="14"/>
    </row>
    <row r="26" spans="1:8" x14ac:dyDescent="0.3">
      <c r="A26" s="14"/>
      <c r="B26" s="14"/>
      <c r="C26" s="14"/>
      <c r="D26" s="14"/>
      <c r="E26" s="14"/>
      <c r="F26" s="14"/>
      <c r="G26" s="14"/>
      <c r="H26" s="14"/>
    </row>
    <row r="27" spans="1:8" x14ac:dyDescent="0.3">
      <c r="A27" s="14"/>
      <c r="B27" s="14"/>
      <c r="C27" s="14"/>
      <c r="D27" s="14"/>
      <c r="E27" s="14"/>
      <c r="F27" s="14"/>
      <c r="G27" s="14"/>
      <c r="H27" s="14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rate dataset</vt:lpstr>
      <vt:lpstr>More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2017-04-21T12:34:14Z</dcterms:created>
  <dcterms:modified xsi:type="dcterms:W3CDTF">2026-09-14T17:19:29Z</dcterms:modified>
</cp:coreProperties>
</file>