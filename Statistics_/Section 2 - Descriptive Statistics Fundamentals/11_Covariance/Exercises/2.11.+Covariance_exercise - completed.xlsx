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_\Section 2 - Descriptive Statistics Fundamentals\11_Covariance_\Exercises\"/>
    </mc:Choice>
  </mc:AlternateContent>
  <xr:revisionPtr revIDLastSave="0" documentId="13_ncr:1_{B3290E81-BDDA-4D7A-A6B7-9F0FCB2D8D4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variance" sheetId="13" r:id="rId1"/>
    <sheet name="cov" sheetId="10" state="hidden" r:id="rId2"/>
    <sheet name="Covariance2" sheetId="11" state="hidden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13" l="1"/>
  <c r="G18" i="13"/>
  <c r="G17" i="13"/>
  <c r="G13" i="13" l="1"/>
  <c r="G14" i="13"/>
  <c r="G15" i="13"/>
  <c r="G16" i="13"/>
  <c r="G12" i="13"/>
  <c r="D17" i="13"/>
  <c r="C17" i="13"/>
  <c r="D11" i="10"/>
  <c r="C11" i="10"/>
  <c r="G6" i="10" s="1"/>
  <c r="D11" i="11"/>
  <c r="C11" i="11"/>
  <c r="G6" i="11" s="1"/>
  <c r="G9" i="10" l="1"/>
  <c r="G10" i="10"/>
  <c r="G8" i="10"/>
  <c r="G7" i="10"/>
  <c r="G8" i="11"/>
  <c r="G9" i="11"/>
  <c r="G10" i="11"/>
  <c r="G7" i="11"/>
  <c r="G11" i="11" l="1"/>
  <c r="G13" i="11" s="1"/>
  <c r="G11" i="10"/>
  <c r="G13" i="10" s="1"/>
</calcChain>
</file>

<file path=xl/sharedStrings.xml><?xml version="1.0" encoding="utf-8"?>
<sst xmlns="http://schemas.openxmlformats.org/spreadsheetml/2006/main" count="37" uniqueCount="23">
  <si>
    <t>Housing data</t>
  </si>
  <si>
    <t>Covariance</t>
  </si>
  <si>
    <t>Mean</t>
  </si>
  <si>
    <t>(x-x̅)*(y-ȳ)</t>
  </si>
  <si>
    <t>Sum</t>
  </si>
  <si>
    <t>Sample size</t>
  </si>
  <si>
    <t>Cov. Sample</t>
  </si>
  <si>
    <t>Size (ft.)</t>
  </si>
  <si>
    <t>Price ($)</t>
  </si>
  <si>
    <t>Background</t>
  </si>
  <si>
    <t>Task 1</t>
  </si>
  <si>
    <t>Task 2</t>
  </si>
  <si>
    <t>Determine if this is sample or population</t>
  </si>
  <si>
    <t>Calculate the covariance of the two datasets</t>
  </si>
  <si>
    <t>You are given data on the SAT reading and writing scores of several students from our lesson on cross tables and scatter plots</t>
  </si>
  <si>
    <t>Reading</t>
  </si>
  <si>
    <t>Writing</t>
  </si>
  <si>
    <t>Task 3</t>
  </si>
  <si>
    <t>Plot the data on scatter plot and using your previous knowledge comment on whether there is a noticeable relationship between the two variables.</t>
  </si>
  <si>
    <t>SAT scores</t>
  </si>
  <si>
    <t>The covarience is positive meaning the two variables move together</t>
  </si>
  <si>
    <t>and are therefore corrolated</t>
  </si>
  <si>
    <t>This is visually represented on the scatter plot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</si>
</sst>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#,##0_);\-\ #,##0_)"/>
    <numFmt numFmtId="167" formatCode="#,##0.00_);\-\ #,##0.00_)"/>
    <numFmt numFmtId="168" formatCode="#,##0_ ;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rgb="FF00206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right"/>
    </xf>
    <xf numFmtId="165" fontId="2" fillId="2" borderId="0" xfId="1" applyNumberFormat="1" applyFont="1" applyFill="1"/>
    <xf numFmtId="0" fontId="5" fillId="2" borderId="0" xfId="0" applyFont="1" applyFill="1"/>
    <xf numFmtId="0" fontId="2" fillId="2" borderId="2" xfId="0" applyFont="1" applyFill="1" applyBorder="1"/>
    <xf numFmtId="165" fontId="2" fillId="2" borderId="2" xfId="1" applyNumberFormat="1" applyFont="1" applyFill="1" applyBorder="1"/>
    <xf numFmtId="164" fontId="2" fillId="2" borderId="0" xfId="1" applyNumberFormat="1" applyFont="1" applyFill="1"/>
    <xf numFmtId="164" fontId="2" fillId="2" borderId="0" xfId="0" applyNumberFormat="1" applyFont="1" applyFill="1"/>
    <xf numFmtId="0" fontId="5" fillId="2" borderId="0" xfId="0" applyFont="1" applyFill="1" applyAlignment="1">
      <alignment horizontal="right"/>
    </xf>
    <xf numFmtId="166" fontId="2" fillId="2" borderId="0" xfId="1" applyNumberFormat="1" applyFont="1" applyFill="1"/>
    <xf numFmtId="166" fontId="2" fillId="2" borderId="2" xfId="1" applyNumberFormat="1" applyFont="1" applyFill="1" applyBorder="1"/>
    <xf numFmtId="0" fontId="2" fillId="2" borderId="0" xfId="0" applyFont="1" applyFill="1" applyBorder="1"/>
    <xf numFmtId="166" fontId="2" fillId="2" borderId="0" xfId="1" applyNumberFormat="1" applyFont="1" applyFill="1" applyBorder="1"/>
    <xf numFmtId="0" fontId="5" fillId="2" borderId="0" xfId="0" applyFont="1" applyFill="1" applyBorder="1"/>
    <xf numFmtId="164" fontId="2" fillId="2" borderId="0" xfId="0" applyNumberFormat="1" applyFont="1" applyFill="1" applyBorder="1"/>
    <xf numFmtId="165" fontId="2" fillId="2" borderId="0" xfId="1" applyNumberFormat="1" applyFont="1" applyFill="1" applyBorder="1"/>
    <xf numFmtId="0" fontId="3" fillId="2" borderId="1" xfId="0" applyFont="1" applyFill="1" applyBorder="1" applyAlignment="1">
      <alignment horizontal="right"/>
    </xf>
    <xf numFmtId="0" fontId="6" fillId="2" borderId="0" xfId="0" applyFont="1" applyFill="1" applyAlignment="1">
      <alignment vertical="center"/>
    </xf>
    <xf numFmtId="0" fontId="6" fillId="2" borderId="2" xfId="0" applyFont="1" applyFill="1" applyBorder="1" applyAlignment="1">
      <alignment vertical="center"/>
    </xf>
    <xf numFmtId="164" fontId="2" fillId="2" borderId="0" xfId="1" applyFont="1" applyFill="1"/>
    <xf numFmtId="167" fontId="2" fillId="2" borderId="0" xfId="1" applyNumberFormat="1" applyFont="1" applyFill="1"/>
    <xf numFmtId="167" fontId="2" fillId="2" borderId="0" xfId="0" applyNumberFormat="1" applyFont="1" applyFill="1"/>
    <xf numFmtId="168" fontId="2" fillId="2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Reading v Writting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Covariance!$D$11</c:f>
              <c:strCache>
                <c:ptCount val="1"/>
                <c:pt idx="0">
                  <c:v>Reading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Covariance!$C$12:$C$16</c:f>
              <c:numCache>
                <c:formatCode>General</c:formatCode>
                <c:ptCount val="5"/>
                <c:pt idx="0">
                  <c:v>344</c:v>
                </c:pt>
                <c:pt idx="1">
                  <c:v>383</c:v>
                </c:pt>
                <c:pt idx="2">
                  <c:v>611</c:v>
                </c:pt>
                <c:pt idx="3">
                  <c:v>713</c:v>
                </c:pt>
                <c:pt idx="4">
                  <c:v>536</c:v>
                </c:pt>
              </c:numCache>
            </c:numRef>
          </c:xVal>
          <c:yVal>
            <c:numRef>
              <c:f>Covariance!$D$12:$D$16</c:f>
              <c:numCache>
                <c:formatCode>General</c:formatCode>
                <c:ptCount val="5"/>
                <c:pt idx="0">
                  <c:v>378</c:v>
                </c:pt>
                <c:pt idx="1">
                  <c:v>349</c:v>
                </c:pt>
                <c:pt idx="2">
                  <c:v>503</c:v>
                </c:pt>
                <c:pt idx="3">
                  <c:v>719</c:v>
                </c:pt>
                <c:pt idx="4">
                  <c:v>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19-4267-994E-09A7D2793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141135"/>
        <c:axId val="1425141551"/>
      </c:scatterChart>
      <c:valAx>
        <c:axId val="142514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41551"/>
        <c:crosses val="autoZero"/>
        <c:crossBetween val="midCat"/>
      </c:valAx>
      <c:valAx>
        <c:axId val="142514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4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Writting v </a:t>
            </a:r>
            <a:r>
              <a:rPr lang="en-GB" sz="1400" b="0" i="0" u="none" strike="noStrike" baseline="0">
                <a:effectLst/>
              </a:rPr>
              <a:t>Reading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Covariance!$C$11</c:f>
              <c:strCache>
                <c:ptCount val="1"/>
                <c:pt idx="0">
                  <c:v>Writing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Covariance!$D$12:$D$16</c:f>
              <c:numCache>
                <c:formatCode>General</c:formatCode>
                <c:ptCount val="5"/>
                <c:pt idx="0">
                  <c:v>378</c:v>
                </c:pt>
                <c:pt idx="1">
                  <c:v>349</c:v>
                </c:pt>
                <c:pt idx="2">
                  <c:v>503</c:v>
                </c:pt>
                <c:pt idx="3">
                  <c:v>719</c:v>
                </c:pt>
                <c:pt idx="4">
                  <c:v>503</c:v>
                </c:pt>
              </c:numCache>
            </c:numRef>
          </c:xVal>
          <c:yVal>
            <c:numRef>
              <c:f>Covariance!$C$12:$C$16</c:f>
              <c:numCache>
                <c:formatCode>General</c:formatCode>
                <c:ptCount val="5"/>
                <c:pt idx="0">
                  <c:v>344</c:v>
                </c:pt>
                <c:pt idx="1">
                  <c:v>383</c:v>
                </c:pt>
                <c:pt idx="2">
                  <c:v>611</c:v>
                </c:pt>
                <c:pt idx="3">
                  <c:v>713</c:v>
                </c:pt>
                <c:pt idx="4">
                  <c:v>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73-4BDA-ADD4-D32ACA280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141135"/>
        <c:axId val="1425141551"/>
      </c:scatterChart>
      <c:valAx>
        <c:axId val="142514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41551"/>
        <c:crosses val="autoZero"/>
        <c:crossBetween val="midCat"/>
      </c:valAx>
      <c:valAx>
        <c:axId val="142514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4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Covariance2!$C$6:$C$10</c:f>
              <c:numCache>
                <c:formatCode>General</c:formatCode>
                <c:ptCount val="5"/>
                <c:pt idx="0">
                  <c:v>650</c:v>
                </c:pt>
                <c:pt idx="1">
                  <c:v>785</c:v>
                </c:pt>
                <c:pt idx="2">
                  <c:v>1200</c:v>
                </c:pt>
                <c:pt idx="3">
                  <c:v>720</c:v>
                </c:pt>
                <c:pt idx="4">
                  <c:v>975</c:v>
                </c:pt>
              </c:numCache>
            </c:numRef>
          </c:xVal>
          <c:yVal>
            <c:numRef>
              <c:f>Covariance2!$D$6:$D$10</c:f>
              <c:numCache>
                <c:formatCode>_(* #,##0_);_(* \(#,##0\);_(* "-"??_);_(@_)</c:formatCode>
                <c:ptCount val="5"/>
                <c:pt idx="0">
                  <c:v>772000</c:v>
                </c:pt>
                <c:pt idx="1">
                  <c:v>998000</c:v>
                </c:pt>
                <c:pt idx="2">
                  <c:v>1200000</c:v>
                </c:pt>
                <c:pt idx="3">
                  <c:v>800000</c:v>
                </c:pt>
                <c:pt idx="4">
                  <c:v>895000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5-4DFB-8586-732A1FE26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Size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Price (y)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320040</xdr:colOff>
      <xdr:row>7</xdr:row>
      <xdr:rowOff>17664</xdr:rowOff>
    </xdr:from>
    <xdr:to>
      <xdr:col>16</xdr:col>
      <xdr:colOff>182880</xdr:colOff>
      <xdr:row>25</xdr:row>
      <xdr:rowOff>33596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8937A5-806A-455E-B98D-DEAA0E614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331818</xdr:colOff>
      <xdr:row>25</xdr:row>
      <xdr:rowOff>133697</xdr:rowOff>
    </xdr:from>
    <xdr:to>
      <xdr:col>16</xdr:col>
      <xdr:colOff>194658</xdr:colOff>
      <xdr:row>44</xdr:row>
      <xdr:rowOff>126077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5C4D4D-FC17-4495-8BBF-EC590BBF0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123238</xdr:colOff>
      <xdr:row>21</xdr:row>
      <xdr:rowOff>133129</xdr:rowOff>
    </xdr:from>
    <xdr:to>
      <xdr:col>6</xdr:col>
      <xdr:colOff>824278</xdr:colOff>
      <xdr:row>36</xdr:row>
      <xdr:rowOff>76858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D8977-9956-4A25-BADE-F61774886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M30"/>
  <sheetViews>
    <sheetView tabSelected="1" topLeftCell="A11" zoomScale="110" zoomScaleNormal="110" workbookViewId="0">
      <selection activeCell="G20" sqref="G20"/>
    </sheetView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11.109375" style="1" customWidth="1"/>
    <col min="5" max="5" width="9.109375" style="1"/>
    <col min="6" max="6" width="18.77734375" style="1" customWidth="1"/>
    <col min="7" max="7" width="14" style="1" customWidth="1"/>
    <col min="8" max="11" width="9.109375" style="1"/>
    <col min="12" max="12" width="4.88671875" style="1" customWidth="1"/>
    <col min="13" max="16384" width="9.109375" style="1"/>
  </cols>
  <sheetData>
    <row r="1" spans="2:13" ht="15.6" x14ac:dyDescent="0.3">
      <c r="B1" s="2" t="s">
        <v>1</v>
      </c>
      <c r="F1" s="13"/>
      <c r="G1" s="13"/>
      <c r="H1" s="13"/>
    </row>
    <row r="2" spans="2:13" ht="12" x14ac:dyDescent="0.25">
      <c r="B2" s="5" t="s">
        <v>19</v>
      </c>
      <c r="F2" s="13"/>
      <c r="G2" s="13"/>
      <c r="H2" s="13"/>
    </row>
    <row r="3" spans="2:13" ht="12" x14ac:dyDescent="0.25">
      <c r="B3" s="5"/>
      <c r="F3" s="13"/>
      <c r="G3" s="13"/>
      <c r="H3" s="13"/>
    </row>
    <row r="4" spans="2:13" ht="12" x14ac:dyDescent="0.25">
      <c r="B4" s="5" t="s">
        <v>9</v>
      </c>
      <c r="D4" s="1" t="s">
        <v>14</v>
      </c>
      <c r="F4" s="13"/>
      <c r="G4" s="13"/>
      <c r="H4" s="13"/>
    </row>
    <row r="5" spans="2:13" ht="12" x14ac:dyDescent="0.25">
      <c r="B5" s="5" t="s">
        <v>10</v>
      </c>
      <c r="D5" s="1" t="s">
        <v>12</v>
      </c>
      <c r="F5" s="13"/>
      <c r="G5" s="13"/>
      <c r="H5" s="13"/>
    </row>
    <row r="6" spans="2:13" ht="12" x14ac:dyDescent="0.25">
      <c r="B6" s="5" t="s">
        <v>11</v>
      </c>
      <c r="D6" s="1" t="s">
        <v>13</v>
      </c>
      <c r="F6" s="13"/>
      <c r="G6" s="13"/>
      <c r="H6" s="13"/>
    </row>
    <row r="7" spans="2:13" ht="12" x14ac:dyDescent="0.25">
      <c r="B7" s="5" t="s">
        <v>17</v>
      </c>
      <c r="D7" s="1" t="s">
        <v>18</v>
      </c>
      <c r="F7" s="13"/>
      <c r="G7" s="13"/>
      <c r="H7" s="13"/>
    </row>
    <row r="8" spans="2:13" x14ac:dyDescent="0.2">
      <c r="F8" s="13"/>
      <c r="G8" s="13"/>
      <c r="H8" s="13"/>
    </row>
    <row r="9" spans="2:13" ht="12" x14ac:dyDescent="0.25">
      <c r="B9" s="5"/>
      <c r="F9" s="13"/>
      <c r="G9" s="13"/>
      <c r="H9" s="13"/>
    </row>
    <row r="10" spans="2:13" ht="12" x14ac:dyDescent="0.25">
      <c r="B10" s="5"/>
      <c r="F10" s="13"/>
      <c r="G10" s="13"/>
      <c r="H10" s="13"/>
    </row>
    <row r="11" spans="2:13" ht="16.2" thickBot="1" x14ac:dyDescent="0.35">
      <c r="C11" s="3" t="s">
        <v>16</v>
      </c>
      <c r="D11" s="3" t="s">
        <v>15</v>
      </c>
      <c r="G11" s="18" t="s">
        <v>3</v>
      </c>
      <c r="H11" s="13"/>
      <c r="J11" s="5"/>
    </row>
    <row r="12" spans="2:13" ht="12" x14ac:dyDescent="0.25">
      <c r="C12" s="19">
        <v>344</v>
      </c>
      <c r="D12" s="19">
        <v>378</v>
      </c>
      <c r="G12" s="22">
        <f>(C12-$C$17)*(D12-$D$17)</f>
        <v>19490.159999999993</v>
      </c>
      <c r="H12" s="13"/>
      <c r="J12" s="5"/>
      <c r="M12" s="21"/>
    </row>
    <row r="13" spans="2:13" ht="12" x14ac:dyDescent="0.25">
      <c r="C13" s="19">
        <v>383</v>
      </c>
      <c r="D13" s="19">
        <v>349</v>
      </c>
      <c r="G13" s="22">
        <f t="shared" ref="G13:G16" si="0">(C13-$C$17)*(D13-$D$17)</f>
        <v>19004.159999999993</v>
      </c>
      <c r="H13" s="13"/>
      <c r="J13" s="5"/>
    </row>
    <row r="14" spans="2:13" x14ac:dyDescent="0.2">
      <c r="C14" s="19">
        <v>611</v>
      </c>
      <c r="D14" s="19">
        <v>503</v>
      </c>
      <c r="G14" s="22">
        <f t="shared" si="0"/>
        <v>1179.3600000000024</v>
      </c>
      <c r="H14" s="13"/>
    </row>
    <row r="15" spans="2:13" x14ac:dyDescent="0.2">
      <c r="C15" s="19">
        <v>713</v>
      </c>
      <c r="D15" s="19">
        <v>719</v>
      </c>
      <c r="G15" s="22">
        <f t="shared" si="0"/>
        <v>44714.160000000011</v>
      </c>
      <c r="H15" s="13"/>
    </row>
    <row r="16" spans="2:13" x14ac:dyDescent="0.2">
      <c r="C16" s="20">
        <v>536</v>
      </c>
      <c r="D16" s="20">
        <v>503</v>
      </c>
      <c r="G16" s="22">
        <f t="shared" si="0"/>
        <v>234.3600000000007</v>
      </c>
      <c r="H16" s="13"/>
    </row>
    <row r="17" spans="2:8" x14ac:dyDescent="0.2">
      <c r="B17" s="1" t="s">
        <v>2</v>
      </c>
      <c r="C17" s="1">
        <f>AVERAGE(C12:C16)</f>
        <v>517.4</v>
      </c>
      <c r="D17" s="1">
        <f>AVERAGE(D12:D16)</f>
        <v>490.4</v>
      </c>
      <c r="G17" s="23">
        <f>SUM(G12:G16)</f>
        <v>84622.2</v>
      </c>
      <c r="H17" s="13"/>
    </row>
    <row r="18" spans="2:8" ht="12" x14ac:dyDescent="0.25">
      <c r="B18" s="10"/>
      <c r="C18" s="4"/>
      <c r="D18" s="4"/>
      <c r="F18" s="5" t="s">
        <v>5</v>
      </c>
      <c r="G18" s="24">
        <f>COUNT(D12:D16)</f>
        <v>5</v>
      </c>
      <c r="H18" s="13"/>
    </row>
    <row r="19" spans="2:8" ht="12" x14ac:dyDescent="0.25">
      <c r="B19" s="5"/>
      <c r="C19" s="8"/>
      <c r="D19" s="8"/>
      <c r="F19" s="5" t="s">
        <v>6</v>
      </c>
      <c r="G19" s="14">
        <f>G17/(G18-1)</f>
        <v>21155.55</v>
      </c>
      <c r="H19" s="13"/>
    </row>
    <row r="20" spans="2:8" ht="12" x14ac:dyDescent="0.25">
      <c r="B20" s="5"/>
      <c r="C20" s="4"/>
      <c r="D20" s="4"/>
      <c r="F20" s="5"/>
      <c r="G20" s="22"/>
      <c r="H20" s="13"/>
    </row>
    <row r="21" spans="2:8" x14ac:dyDescent="0.2">
      <c r="F21" s="13"/>
      <c r="G21" s="13"/>
      <c r="H21" s="13"/>
    </row>
    <row r="22" spans="2:8" ht="12" x14ac:dyDescent="0.25">
      <c r="F22" s="15"/>
      <c r="G22" s="16"/>
      <c r="H22" s="13"/>
    </row>
    <row r="23" spans="2:8" x14ac:dyDescent="0.2">
      <c r="F23" s="13"/>
      <c r="G23" s="13"/>
      <c r="H23" s="13"/>
    </row>
    <row r="27" spans="2:8" x14ac:dyDescent="0.2">
      <c r="D27" s="1" t="s">
        <v>20</v>
      </c>
    </row>
    <row r="28" spans="2:8" x14ac:dyDescent="0.2">
      <c r="D28" s="1" t="s">
        <v>21</v>
      </c>
    </row>
    <row r="30" spans="2:8" x14ac:dyDescent="0.2">
      <c r="D30" s="1" t="s">
        <v>22</v>
      </c>
    </row>
  </sheetData>
  <sortState xmlns:xlrd2="http://schemas.microsoft.com/office/spreadsheetml/2017/richdata2" ref="G12:G20">
    <sortCondition descending="1" ref="G12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G16"/>
  <sheetViews>
    <sheetView zoomScaleNormal="100" workbookViewId="0">
      <selection activeCell="G6" sqref="G6"/>
    </sheetView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9.5546875" style="1" customWidth="1"/>
    <col min="5" max="5" width="9.109375" style="1"/>
    <col min="6" max="6" width="18.77734375" style="1" customWidth="1"/>
    <col min="7" max="7" width="14" style="1" customWidth="1"/>
    <col min="8" max="16384" width="9.109375" style="1"/>
  </cols>
  <sheetData>
    <row r="1" spans="2:7" ht="15.6" x14ac:dyDescent="0.3">
      <c r="B1" s="2" t="s">
        <v>1</v>
      </c>
    </row>
    <row r="2" spans="2:7" ht="12" x14ac:dyDescent="0.25">
      <c r="B2" s="5" t="s">
        <v>0</v>
      </c>
    </row>
    <row r="5" spans="2:7" ht="12.6" thickBot="1" x14ac:dyDescent="0.3">
      <c r="C5" s="3" t="s">
        <v>7</v>
      </c>
      <c r="D5" s="3" t="s">
        <v>8</v>
      </c>
      <c r="G5" s="3" t="s">
        <v>3</v>
      </c>
    </row>
    <row r="6" spans="2:7" x14ac:dyDescent="0.2">
      <c r="C6" s="4">
        <v>650</v>
      </c>
      <c r="D6" s="4">
        <v>772000</v>
      </c>
      <c r="G6" s="11">
        <f>(C6-$C$11)*(D6-$D$11)</f>
        <v>34776000</v>
      </c>
    </row>
    <row r="7" spans="2:7" x14ac:dyDescent="0.2">
      <c r="C7" s="4">
        <v>785</v>
      </c>
      <c r="D7" s="4">
        <v>998000</v>
      </c>
      <c r="G7" s="11">
        <f>(C7-$C$11)*(D7-$D$11)</f>
        <v>-5265000</v>
      </c>
    </row>
    <row r="8" spans="2:7" x14ac:dyDescent="0.2">
      <c r="C8" s="4">
        <v>1200</v>
      </c>
      <c r="D8" s="4">
        <v>1200000</v>
      </c>
      <c r="G8" s="11">
        <f>(C8-$C$11)*(D8-$D$11)</f>
        <v>89178000</v>
      </c>
    </row>
    <row r="9" spans="2:7" x14ac:dyDescent="0.2">
      <c r="C9" s="4">
        <v>720</v>
      </c>
      <c r="D9" s="4">
        <v>800000</v>
      </c>
      <c r="G9" s="11">
        <f>(C9-$C$11)*(D9-$D$11)</f>
        <v>19418000</v>
      </c>
    </row>
    <row r="10" spans="2:7" x14ac:dyDescent="0.2">
      <c r="C10" s="7">
        <v>975</v>
      </c>
      <c r="D10" s="7">
        <v>895000</v>
      </c>
      <c r="G10" s="12">
        <f>(C10-$C$11)*(D10-$D$11)</f>
        <v>-4142000</v>
      </c>
    </row>
    <row r="11" spans="2:7" ht="12" x14ac:dyDescent="0.25">
      <c r="B11" s="10" t="s">
        <v>2</v>
      </c>
      <c r="C11" s="4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ht="12" x14ac:dyDescent="0.25">
      <c r="B12" s="5"/>
      <c r="C12" s="17"/>
      <c r="D12" s="4"/>
      <c r="F12" s="5" t="s">
        <v>5</v>
      </c>
      <c r="G12" s="11">
        <v>5</v>
      </c>
    </row>
    <row r="13" spans="2:7" ht="12" x14ac:dyDescent="0.25">
      <c r="B13" s="5"/>
      <c r="C13" s="8"/>
      <c r="D13" s="8"/>
      <c r="F13" s="5" t="s">
        <v>6</v>
      </c>
      <c r="G13" s="11">
        <f>G11/4</f>
        <v>33491250</v>
      </c>
    </row>
    <row r="14" spans="2:7" ht="12" x14ac:dyDescent="0.25">
      <c r="B14" s="5"/>
      <c r="C14" s="4"/>
      <c r="D14" s="4"/>
      <c r="F14" s="5"/>
      <c r="G14" s="9"/>
    </row>
    <row r="16" spans="2:7" ht="12" x14ac:dyDescent="0.25">
      <c r="F16" s="5"/>
      <c r="G16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1:G16"/>
  <sheetViews>
    <sheetView zoomScale="130" zoomScaleNormal="130" workbookViewId="0"/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9.5546875" style="1" customWidth="1"/>
    <col min="5" max="5" width="9.109375" style="1"/>
    <col min="6" max="6" width="18.77734375" style="1" customWidth="1"/>
    <col min="7" max="7" width="14" style="1" customWidth="1"/>
    <col min="8" max="16384" width="9.109375" style="1"/>
  </cols>
  <sheetData>
    <row r="1" spans="2:7" ht="15.6" x14ac:dyDescent="0.3">
      <c r="B1" s="2" t="s">
        <v>1</v>
      </c>
    </row>
    <row r="2" spans="2:7" ht="12" x14ac:dyDescent="0.25">
      <c r="B2" s="5" t="s">
        <v>0</v>
      </c>
    </row>
    <row r="5" spans="2:7" ht="12.6" thickBot="1" x14ac:dyDescent="0.3">
      <c r="C5" s="3" t="s">
        <v>7</v>
      </c>
      <c r="D5" s="3" t="s">
        <v>8</v>
      </c>
      <c r="G5" s="3" t="s">
        <v>3</v>
      </c>
    </row>
    <row r="6" spans="2:7" x14ac:dyDescent="0.2">
      <c r="C6" s="1">
        <v>650</v>
      </c>
      <c r="D6" s="4">
        <v>772000</v>
      </c>
      <c r="G6" s="11">
        <f>(C6-$C$11)*(D6-$D$11)</f>
        <v>34776000</v>
      </c>
    </row>
    <row r="7" spans="2:7" x14ac:dyDescent="0.2">
      <c r="C7" s="1">
        <v>785</v>
      </c>
      <c r="D7" s="4">
        <v>998000</v>
      </c>
      <c r="G7" s="11">
        <f>(C7-$C$11)*(D7-$D$11)</f>
        <v>-5265000</v>
      </c>
    </row>
    <row r="8" spans="2:7" x14ac:dyDescent="0.2">
      <c r="C8" s="1">
        <v>1200</v>
      </c>
      <c r="D8" s="4">
        <v>1200000</v>
      </c>
      <c r="G8" s="11">
        <f>(C8-$C$11)*(D8-$D$11)</f>
        <v>89178000</v>
      </c>
    </row>
    <row r="9" spans="2:7" x14ac:dyDescent="0.2">
      <c r="C9" s="1">
        <v>720</v>
      </c>
      <c r="D9" s="4">
        <v>800000</v>
      </c>
      <c r="G9" s="11">
        <f>(C9-$C$11)*(D9-$D$11)</f>
        <v>19418000</v>
      </c>
    </row>
    <row r="10" spans="2:7" x14ac:dyDescent="0.2">
      <c r="C10" s="6">
        <v>975</v>
      </c>
      <c r="D10" s="7">
        <v>895000</v>
      </c>
      <c r="G10" s="12">
        <f>(C10-$C$11)*(D10-$D$11)</f>
        <v>-4142000</v>
      </c>
    </row>
    <row r="11" spans="2:7" ht="12" x14ac:dyDescent="0.25">
      <c r="B11" s="10" t="s">
        <v>2</v>
      </c>
      <c r="C11" s="13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ht="12" x14ac:dyDescent="0.25">
      <c r="B12" s="5"/>
      <c r="C12" s="17"/>
      <c r="D12" s="4"/>
      <c r="F12" s="5" t="s">
        <v>5</v>
      </c>
      <c r="G12" s="11">
        <v>5</v>
      </c>
    </row>
    <row r="13" spans="2:7" ht="12" x14ac:dyDescent="0.25">
      <c r="B13" s="5"/>
      <c r="C13" s="8"/>
      <c r="D13" s="8"/>
      <c r="F13" s="5" t="s">
        <v>6</v>
      </c>
      <c r="G13" s="11">
        <f>G11/4</f>
        <v>33491250</v>
      </c>
    </row>
    <row r="14" spans="2:7" ht="12" x14ac:dyDescent="0.25">
      <c r="B14" s="5"/>
      <c r="C14" s="4"/>
      <c r="D14" s="4"/>
      <c r="F14" s="5"/>
      <c r="G14" s="9"/>
    </row>
    <row r="16" spans="2:7" ht="12" x14ac:dyDescent="0.25">
      <c r="F16" s="5"/>
      <c r="G16" s="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Covariance</vt:lpstr>
      <vt:lpstr>cov</vt:lpstr>
      <vt:lpstr>Covariance2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Segun Longe</cp:lastModifiedBy>
  <dcterms:created xsi:type="dcterms:W3CDTF">2017-03-21T13:09:44Z</dcterms:created>
  <dcterms:modified xsi:type="dcterms:W3CDTF">2026-05-04T22:02:01Z</dcterms:modified>
</cp:coreProperties>
</file>