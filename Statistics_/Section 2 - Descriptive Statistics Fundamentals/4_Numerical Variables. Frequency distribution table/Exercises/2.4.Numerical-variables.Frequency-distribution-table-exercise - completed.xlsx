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65 Data Science\Statistics\Section 2\4_Numerical Variables. Frequency distribution table\Exercises\"/>
    </mc:Choice>
  </mc:AlternateContent>
  <xr:revisionPtr revIDLastSave="0" documentId="13_ncr:1_{FB425BC2-DB52-4556-BC03-5A311E7F02E8}" xr6:coauthVersionLast="47" xr6:coauthVersionMax="47" xr10:uidLastSave="{00000000-0000-0000-0000-000000000000}"/>
  <bookViews>
    <workbookView xWindow="6396" yWindow="516" windowWidth="16896" windowHeight="11436" xr2:uid="{00000000-000D-0000-FFFF-FFFF00000000}"/>
  </bookViews>
  <sheets>
    <sheet name="Frequency distribution table" sheetId="10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10" l="1"/>
  <c r="F16" i="10"/>
  <c r="F27" i="10"/>
  <c r="F30" i="10" s="1"/>
  <c r="G30" i="10" s="1"/>
  <c r="H30" i="10" s="1"/>
  <c r="F13" i="10"/>
  <c r="E31" i="10" l="1"/>
  <c r="F31" i="10" s="1"/>
  <c r="G16" i="10"/>
  <c r="H16" i="10" s="1"/>
  <c r="E32" i="10"/>
  <c r="F32" i="10" s="1"/>
  <c r="E33" i="10" l="1"/>
  <c r="G31" i="10"/>
  <c r="H31" i="10" s="1"/>
  <c r="F33" i="10" l="1"/>
  <c r="G33" i="10"/>
  <c r="E34" i="10"/>
  <c r="F34" i="10" s="1"/>
  <c r="G32" i="10"/>
  <c r="H32" i="10" s="1"/>
  <c r="E35" i="10" l="1"/>
  <c r="F35" i="10" s="1"/>
  <c r="H33" i="10"/>
  <c r="G35" i="10" l="1"/>
  <c r="H35" i="10" s="1"/>
  <c r="G34" i="10"/>
  <c r="H34" i="10" s="1"/>
  <c r="B35" i="10" l="1"/>
  <c r="F17" i="10" l="1"/>
  <c r="G17" i="10" s="1"/>
  <c r="H17" i="10" s="1"/>
  <c r="E18" i="10" l="1"/>
  <c r="F18" i="10"/>
  <c r="E19" i="10" s="1"/>
  <c r="G18" i="10" l="1"/>
  <c r="H18" i="10" s="1"/>
  <c r="F19" i="10"/>
  <c r="E20" i="10" s="1"/>
  <c r="G19" i="10" l="1"/>
  <c r="H19" i="10" s="1"/>
  <c r="F20" i="10"/>
  <c r="E21" i="10" s="1"/>
  <c r="G20" i="10" l="1"/>
  <c r="H20" i="10" s="1"/>
  <c r="F21" i="10"/>
  <c r="G21" i="10" s="1"/>
  <c r="H21" i="10" s="1"/>
</calcChain>
</file>

<file path=xl/sharedStrings.xml><?xml version="1.0" encoding="utf-8"?>
<sst xmlns="http://schemas.openxmlformats.org/spreadsheetml/2006/main" count="27" uniqueCount="21">
  <si>
    <t>Numerical variables. Frequency distribution table</t>
  </si>
  <si>
    <t>Dataset</t>
  </si>
  <si>
    <t>Background</t>
  </si>
  <si>
    <t>You are given a dataset.</t>
  </si>
  <si>
    <t>Task 1</t>
  </si>
  <si>
    <t>Task 2</t>
  </si>
  <si>
    <t xml:space="preserve">Create a frequency distribution table that shows </t>
  </si>
  <si>
    <t xml:space="preserve">1. The intervals </t>
  </si>
  <si>
    <t>3. The relative frequency of each interval</t>
  </si>
  <si>
    <t>2. The absolute frequency of each interval</t>
  </si>
  <si>
    <t>Task 3</t>
  </si>
  <si>
    <t>Repeat task 1 and 2, but this time, use the exact interval width. Don't round up to the nearest whole number, that is.</t>
  </si>
  <si>
    <t>Given that we want to divide the numbers into 6 intervals of equal width, calculate that interval width. Round up to the nearest whole number, bigger than the result that you obtain</t>
  </si>
  <si>
    <t>Interval width</t>
  </si>
  <si>
    <t># Intervals</t>
  </si>
  <si>
    <t>interval start</t>
  </si>
  <si>
    <t>interval end</t>
  </si>
  <si>
    <t>frequency</t>
  </si>
  <si>
    <t>relative frequency</t>
  </si>
  <si>
    <t>count</t>
  </si>
  <si>
    <t>Using exact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</si>
</sst>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 tint="0.34998626667073579"/>
      <name val="Arial"/>
      <family val="2"/>
    </font>
    <font>
      <b/>
      <sz val="12"/>
      <color theme="4" tint="-0.499984740745262"/>
      <name val="Arial"/>
      <family val="2"/>
    </font>
    <font>
      <b/>
      <sz val="9"/>
      <color theme="4" tint="-0.499984740745262"/>
      <name val="Arial"/>
      <family val="2"/>
    </font>
    <font>
      <b/>
      <sz val="10"/>
      <color rgb="FF002060"/>
      <name val="Arial"/>
      <family val="2"/>
    </font>
    <font>
      <b/>
      <sz val="9"/>
      <color theme="1"/>
      <name val="Arial"/>
      <family val="2"/>
    </font>
    <font>
      <b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2" fontId="1" fillId="2" borderId="0" xfId="0" applyNumberFormat="1" applyFont="1" applyFill="1"/>
    <xf numFmtId="2" fontId="2" fillId="2" borderId="0" xfId="0" applyNumberFormat="1" applyFont="1" applyFill="1"/>
    <xf numFmtId="0" fontId="1" fillId="2" borderId="0" xfId="0" applyFont="1" applyFill="1"/>
    <xf numFmtId="0" fontId="3" fillId="2" borderId="0" xfId="0" applyFont="1" applyFill="1"/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0" fontId="7" fillId="2" borderId="0" xfId="0" applyFont="1" applyFill="1"/>
    <xf numFmtId="0" fontId="1" fillId="2" borderId="0" xfId="0" applyFont="1" applyFill="1" applyBorder="1"/>
    <xf numFmtId="0" fontId="5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center" vertical="center"/>
    </xf>
    <xf numFmtId="2" fontId="6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0" fontId="1" fillId="2" borderId="0" xfId="0" applyNumberFormat="1" applyFont="1" applyFill="1" applyBorder="1" applyAlignment="1">
      <alignment horizontal="right" vertical="center"/>
    </xf>
    <xf numFmtId="2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46"/>
  <sheetViews>
    <sheetView tabSelected="1" topLeftCell="A7" zoomScale="102" zoomScaleNormal="102" workbookViewId="0">
      <selection activeCell="E18" sqref="E18"/>
    </sheetView>
  </sheetViews>
  <sheetFormatPr defaultRowHeight="11.4" x14ac:dyDescent="0.2"/>
  <cols>
    <col min="1" max="1" width="2" style="3" customWidth="1"/>
    <col min="2" max="2" width="9.88671875" style="3" customWidth="1"/>
    <col min="3" max="3" width="9.109375" style="3" customWidth="1"/>
    <col min="4" max="4" width="13.44140625" style="3" customWidth="1"/>
    <col min="5" max="5" width="14.88671875" style="5" customWidth="1"/>
    <col min="6" max="6" width="16.109375" style="5" bestFit="1" customWidth="1"/>
    <col min="7" max="7" width="15.77734375" style="5" bestFit="1" customWidth="1"/>
    <col min="8" max="8" width="15.77734375" style="5" customWidth="1"/>
    <col min="9" max="9" width="15.6640625" style="3" customWidth="1"/>
    <col min="10" max="10" width="11" style="3" bestFit="1" customWidth="1"/>
    <col min="11" max="11" width="16.109375" style="3" bestFit="1" customWidth="1"/>
    <col min="12" max="12" width="15.77734375" style="3" bestFit="1" customWidth="1"/>
    <col min="13" max="19" width="8.88671875" style="3"/>
    <col min="20" max="20" width="10.44140625" style="3" customWidth="1"/>
    <col min="21" max="16384" width="8.88671875" style="3"/>
  </cols>
  <sheetData>
    <row r="1" spans="2:17" ht="15.6" x14ac:dyDescent="0.3">
      <c r="B1" s="4" t="s">
        <v>0</v>
      </c>
    </row>
    <row r="3" spans="2:17" ht="12" x14ac:dyDescent="0.25">
      <c r="B3" s="8" t="s">
        <v>2</v>
      </c>
      <c r="C3" s="3" t="s">
        <v>3</v>
      </c>
    </row>
    <row r="4" spans="2:17" ht="12" x14ac:dyDescent="0.25">
      <c r="B4" s="8" t="s">
        <v>4</v>
      </c>
      <c r="C4" s="3" t="s">
        <v>12</v>
      </c>
    </row>
    <row r="5" spans="2:17" ht="12" x14ac:dyDescent="0.25">
      <c r="B5" s="8" t="s">
        <v>5</v>
      </c>
      <c r="C5" s="3" t="s">
        <v>6</v>
      </c>
    </row>
    <row r="6" spans="2:17" x14ac:dyDescent="0.2">
      <c r="D6" s="3" t="s">
        <v>7</v>
      </c>
    </row>
    <row r="7" spans="2:17" x14ac:dyDescent="0.2">
      <c r="D7" s="3" t="s">
        <v>9</v>
      </c>
    </row>
    <row r="8" spans="2:17" x14ac:dyDescent="0.2">
      <c r="D8" s="3" t="s">
        <v>8</v>
      </c>
    </row>
    <row r="9" spans="2:17" ht="12" x14ac:dyDescent="0.25">
      <c r="B9" s="8" t="s">
        <v>10</v>
      </c>
      <c r="C9" s="3" t="s">
        <v>11</v>
      </c>
      <c r="Q9" s="1"/>
    </row>
    <row r="10" spans="2:17" x14ac:dyDescent="0.2">
      <c r="Q10" s="1"/>
    </row>
    <row r="11" spans="2:17" x14ac:dyDescent="0.2">
      <c r="Q11" s="1"/>
    </row>
    <row r="12" spans="2:17" ht="12.6" thickBot="1" x14ac:dyDescent="0.25">
      <c r="B12" s="6" t="s">
        <v>1</v>
      </c>
      <c r="E12" s="5" t="s">
        <v>14</v>
      </c>
      <c r="F12" s="5">
        <v>6</v>
      </c>
      <c r="Q12" s="1"/>
    </row>
    <row r="13" spans="2:17" x14ac:dyDescent="0.2">
      <c r="B13" s="3">
        <v>8</v>
      </c>
      <c r="E13" s="5" t="s">
        <v>13</v>
      </c>
      <c r="F13" s="5">
        <f>ROUND(($B$32-$B$13)/F12,0)</f>
        <v>46</v>
      </c>
      <c r="Q13" s="2"/>
    </row>
    <row r="14" spans="2:17" x14ac:dyDescent="0.2">
      <c r="B14" s="3">
        <v>30</v>
      </c>
      <c r="Q14" s="2"/>
    </row>
    <row r="15" spans="2:17" ht="12" x14ac:dyDescent="0.25">
      <c r="B15" s="3">
        <v>30</v>
      </c>
      <c r="E15" s="19" t="s">
        <v>15</v>
      </c>
      <c r="F15" s="19" t="s">
        <v>16</v>
      </c>
      <c r="G15" s="19" t="s">
        <v>17</v>
      </c>
      <c r="H15" s="19" t="s">
        <v>18</v>
      </c>
      <c r="I15" s="8"/>
      <c r="Q15" s="2"/>
    </row>
    <row r="16" spans="2:17" x14ac:dyDescent="0.2">
      <c r="B16" s="3">
        <v>50</v>
      </c>
      <c r="E16" s="19">
        <v>8</v>
      </c>
      <c r="F16" s="19">
        <f>E16+$F$13</f>
        <v>54</v>
      </c>
      <c r="G16" s="19">
        <f>COUNTIFS($B$13:$B$32, "&gt;="&amp;$E16,$B$13:$B$32,"&lt;="&amp;$F16)</f>
        <v>4</v>
      </c>
      <c r="H16" s="19">
        <f>G16/$B$35</f>
        <v>0.2</v>
      </c>
      <c r="Q16" s="2"/>
    </row>
    <row r="17" spans="2:17" ht="13.2" x14ac:dyDescent="0.2">
      <c r="B17" s="3">
        <v>86</v>
      </c>
      <c r="D17" s="10"/>
      <c r="E17" s="19">
        <f>F16</f>
        <v>54</v>
      </c>
      <c r="F17" s="19">
        <f t="shared" ref="F17:F21" si="0">E17+$F$13</f>
        <v>100</v>
      </c>
      <c r="G17" s="19">
        <f t="shared" ref="G17:G21" si="1">COUNTIFS($B$13:$B$32, "&gt;="&amp;$E17,$B$13:$B$32,"&lt;="&amp;$F17)</f>
        <v>2</v>
      </c>
      <c r="H17" s="19">
        <f t="shared" ref="H17:H21" si="2">G17/$B$35</f>
        <v>0.1</v>
      </c>
      <c r="I17" s="10"/>
      <c r="J17" s="11"/>
      <c r="K17" s="11"/>
      <c r="L17" s="11"/>
      <c r="M17" s="9"/>
      <c r="N17" s="9"/>
      <c r="O17" s="9"/>
      <c r="Q17" s="2"/>
    </row>
    <row r="18" spans="2:17" x14ac:dyDescent="0.2">
      <c r="B18" s="3">
        <v>94</v>
      </c>
      <c r="D18" s="11"/>
      <c r="E18" s="19">
        <f>F17</f>
        <v>100</v>
      </c>
      <c r="F18" s="19">
        <f t="shared" si="0"/>
        <v>146</v>
      </c>
      <c r="G18" s="19">
        <f t="shared" si="1"/>
        <v>2</v>
      </c>
      <c r="H18" s="19">
        <f t="shared" si="2"/>
        <v>0.1</v>
      </c>
      <c r="I18" s="11"/>
      <c r="J18" s="11"/>
      <c r="K18" s="11"/>
      <c r="L18" s="11"/>
      <c r="M18" s="9"/>
      <c r="N18" s="9"/>
      <c r="O18" s="9"/>
      <c r="Q18" s="2"/>
    </row>
    <row r="19" spans="2:17" ht="12" x14ac:dyDescent="0.2">
      <c r="B19" s="3">
        <v>102</v>
      </c>
      <c r="C19" s="7"/>
      <c r="D19" s="7"/>
      <c r="E19" s="19">
        <f>F18</f>
        <v>146</v>
      </c>
      <c r="F19" s="19">
        <f t="shared" si="0"/>
        <v>192</v>
      </c>
      <c r="G19" s="19">
        <f t="shared" si="1"/>
        <v>3</v>
      </c>
      <c r="H19" s="19">
        <f t="shared" si="2"/>
        <v>0.15</v>
      </c>
      <c r="I19" s="7"/>
      <c r="J19" s="12"/>
      <c r="K19" s="13"/>
      <c r="L19" s="11"/>
      <c r="M19" s="9"/>
      <c r="N19" s="9"/>
      <c r="O19" s="9"/>
    </row>
    <row r="20" spans="2:17" ht="12" x14ac:dyDescent="0.2">
      <c r="B20" s="3">
        <v>110</v>
      </c>
      <c r="C20" s="9"/>
      <c r="D20" s="7"/>
      <c r="E20" s="19">
        <f>F19</f>
        <v>192</v>
      </c>
      <c r="F20" s="19">
        <f t="shared" si="0"/>
        <v>238</v>
      </c>
      <c r="G20" s="19">
        <f t="shared" si="1"/>
        <v>1</v>
      </c>
      <c r="H20" s="19">
        <f t="shared" si="2"/>
        <v>0.05</v>
      </c>
      <c r="I20" s="7"/>
      <c r="J20" s="14"/>
      <c r="K20" s="11"/>
      <c r="L20" s="11"/>
      <c r="M20" s="9"/>
      <c r="N20" s="9"/>
      <c r="O20" s="9"/>
    </row>
    <row r="21" spans="2:17" x14ac:dyDescent="0.2">
      <c r="B21" s="3">
        <v>169</v>
      </c>
      <c r="C21" s="9"/>
      <c r="D21" s="11"/>
      <c r="E21" s="19">
        <f>F20</f>
        <v>238</v>
      </c>
      <c r="F21" s="19">
        <f t="shared" si="0"/>
        <v>284</v>
      </c>
      <c r="G21" s="19">
        <f t="shared" si="1"/>
        <v>8</v>
      </c>
      <c r="H21" s="19">
        <f t="shared" si="2"/>
        <v>0.4</v>
      </c>
      <c r="I21" s="11"/>
      <c r="J21" s="11"/>
      <c r="K21" s="11"/>
      <c r="L21" s="11"/>
      <c r="M21" s="9"/>
      <c r="N21" s="9"/>
      <c r="O21" s="9"/>
    </row>
    <row r="22" spans="2:17" ht="12" x14ac:dyDescent="0.2">
      <c r="B22" s="3">
        <v>170</v>
      </c>
      <c r="C22" s="9"/>
      <c r="D22" s="7"/>
      <c r="E22" s="7"/>
      <c r="F22" s="7"/>
      <c r="G22" s="7"/>
      <c r="H22" s="11"/>
      <c r="I22" s="7"/>
      <c r="J22" s="7"/>
      <c r="K22" s="7"/>
      <c r="L22" s="7"/>
      <c r="M22" s="9"/>
      <c r="N22" s="9"/>
      <c r="O22" s="9"/>
    </row>
    <row r="23" spans="2:17" x14ac:dyDescent="0.2">
      <c r="B23" s="3">
        <v>176</v>
      </c>
      <c r="C23" s="9"/>
      <c r="D23" s="15"/>
      <c r="E23" s="16"/>
      <c r="F23" s="15"/>
      <c r="G23" s="17"/>
      <c r="H23" s="11"/>
      <c r="I23" s="17"/>
      <c r="J23" s="17"/>
      <c r="K23" s="15"/>
      <c r="L23" s="17"/>
      <c r="M23" s="9"/>
      <c r="N23" s="9"/>
      <c r="O23" s="9"/>
    </row>
    <row r="24" spans="2:17" x14ac:dyDescent="0.2">
      <c r="B24" s="3">
        <v>236</v>
      </c>
      <c r="C24" s="9"/>
      <c r="D24" s="15"/>
      <c r="I24" s="17"/>
      <c r="J24" s="17"/>
      <c r="K24" s="15"/>
      <c r="L24" s="17"/>
      <c r="M24" s="9"/>
      <c r="N24" s="9"/>
      <c r="O24" s="9"/>
    </row>
    <row r="25" spans="2:17" x14ac:dyDescent="0.2">
      <c r="B25" s="3">
        <v>240</v>
      </c>
      <c r="C25" s="9"/>
      <c r="D25" s="15"/>
      <c r="E25" s="5" t="s">
        <v>20</v>
      </c>
      <c r="I25" s="17"/>
      <c r="J25" s="17"/>
      <c r="K25" s="15"/>
      <c r="L25" s="17"/>
      <c r="M25" s="9"/>
      <c r="N25" s="9"/>
      <c r="O25" s="9"/>
    </row>
    <row r="26" spans="2:17" x14ac:dyDescent="0.2">
      <c r="B26" s="3">
        <v>241</v>
      </c>
      <c r="C26" s="9"/>
      <c r="D26" s="15"/>
      <c r="E26" s="5" t="s">
        <v>14</v>
      </c>
      <c r="F26" s="5">
        <v>6</v>
      </c>
      <c r="G26" s="17"/>
      <c r="H26" s="11"/>
      <c r="I26" s="17"/>
      <c r="J26" s="17"/>
      <c r="K26" s="15"/>
      <c r="L26" s="17"/>
      <c r="M26" s="9"/>
      <c r="N26" s="9"/>
      <c r="O26" s="9"/>
    </row>
    <row r="27" spans="2:17" x14ac:dyDescent="0.2">
      <c r="B27" s="3">
        <v>242</v>
      </c>
      <c r="C27" s="9"/>
      <c r="D27" s="15"/>
      <c r="E27" s="5" t="s">
        <v>13</v>
      </c>
      <c r="F27" s="21">
        <f>($B$32-$B$13)/F26</f>
        <v>45.666666666666664</v>
      </c>
      <c r="G27" s="17"/>
      <c r="H27" s="11"/>
      <c r="I27" s="17"/>
      <c r="J27" s="17"/>
      <c r="K27" s="15"/>
      <c r="L27" s="17"/>
      <c r="M27" s="9"/>
      <c r="N27" s="9"/>
      <c r="O27" s="9"/>
    </row>
    <row r="28" spans="2:17" x14ac:dyDescent="0.2">
      <c r="B28" s="3">
        <v>255</v>
      </c>
      <c r="C28" s="9"/>
      <c r="D28" s="15"/>
      <c r="E28" s="16"/>
      <c r="F28" s="15"/>
      <c r="G28" s="17"/>
      <c r="H28" s="11"/>
      <c r="I28" s="17"/>
      <c r="J28" s="17"/>
      <c r="K28" s="15"/>
      <c r="L28" s="17"/>
      <c r="M28" s="9"/>
      <c r="N28" s="9"/>
      <c r="O28" s="9"/>
    </row>
    <row r="29" spans="2:17" x14ac:dyDescent="0.2">
      <c r="B29" s="3">
        <v>262</v>
      </c>
      <c r="C29" s="9"/>
      <c r="D29" s="9"/>
      <c r="E29" s="19" t="s">
        <v>15</v>
      </c>
      <c r="F29" s="19" t="s">
        <v>16</v>
      </c>
      <c r="G29" s="19" t="s">
        <v>17</v>
      </c>
      <c r="H29" s="19" t="s">
        <v>18</v>
      </c>
      <c r="I29" s="9"/>
      <c r="J29" s="9"/>
      <c r="K29" s="9"/>
      <c r="L29" s="9"/>
      <c r="M29" s="9"/>
      <c r="N29" s="9"/>
      <c r="O29" s="9"/>
    </row>
    <row r="30" spans="2:17" x14ac:dyDescent="0.2">
      <c r="B30" s="3">
        <v>276</v>
      </c>
      <c r="C30" s="9"/>
      <c r="D30" s="9"/>
      <c r="E30" s="20">
        <v>8</v>
      </c>
      <c r="F30" s="20">
        <f t="shared" ref="F30:F35" si="3">E30+$F$27</f>
        <v>53.666666666666664</v>
      </c>
      <c r="G30" s="19">
        <f t="shared" ref="G30:G35" si="4">COUNTIFS($B$13:$B$32, "&gt;="&amp;$E30,$B$13:$B$32,"&lt;="&amp;$F30)</f>
        <v>4</v>
      </c>
      <c r="H30" s="19">
        <f>G30/$B$35</f>
        <v>0.2</v>
      </c>
      <c r="I30" s="9"/>
      <c r="J30" s="9"/>
      <c r="K30" s="9"/>
      <c r="L30" s="9"/>
      <c r="M30" s="9"/>
      <c r="N30" s="9"/>
      <c r="O30" s="9"/>
    </row>
    <row r="31" spans="2:17" x14ac:dyDescent="0.2">
      <c r="B31" s="3">
        <v>279</v>
      </c>
      <c r="C31" s="9"/>
      <c r="D31" s="9"/>
      <c r="E31" s="20">
        <f>F30</f>
        <v>53.666666666666664</v>
      </c>
      <c r="F31" s="20">
        <f t="shared" si="3"/>
        <v>99.333333333333329</v>
      </c>
      <c r="G31" s="19">
        <f t="shared" si="4"/>
        <v>2</v>
      </c>
      <c r="H31" s="19">
        <f t="shared" ref="H31:H35" si="5">G31/$B$35</f>
        <v>0.1</v>
      </c>
      <c r="I31" s="9"/>
      <c r="J31" s="9"/>
      <c r="K31" s="9"/>
      <c r="L31" s="9"/>
      <c r="M31" s="9"/>
      <c r="N31" s="9"/>
      <c r="O31" s="9"/>
    </row>
    <row r="32" spans="2:17" x14ac:dyDescent="0.2">
      <c r="B32" s="3">
        <v>282</v>
      </c>
      <c r="C32" s="9"/>
      <c r="D32" s="9"/>
      <c r="E32" s="20">
        <f>F31</f>
        <v>99.333333333333329</v>
      </c>
      <c r="F32" s="20">
        <f t="shared" si="3"/>
        <v>145</v>
      </c>
      <c r="G32" s="19">
        <f t="shared" si="4"/>
        <v>2</v>
      </c>
      <c r="H32" s="19">
        <f t="shared" si="5"/>
        <v>0.1</v>
      </c>
      <c r="I32" s="9"/>
      <c r="J32" s="9"/>
      <c r="K32" s="9"/>
      <c r="L32" s="9"/>
      <c r="M32" s="9"/>
      <c r="N32" s="9"/>
      <c r="O32" s="9"/>
    </row>
    <row r="33" spans="2:15" x14ac:dyDescent="0.2">
      <c r="C33" s="9"/>
      <c r="D33" s="9"/>
      <c r="E33" s="20">
        <f>F32</f>
        <v>145</v>
      </c>
      <c r="F33" s="20">
        <f t="shared" si="3"/>
        <v>190.66666666666666</v>
      </c>
      <c r="G33" s="19">
        <f t="shared" si="4"/>
        <v>3</v>
      </c>
      <c r="H33" s="19">
        <f t="shared" si="5"/>
        <v>0.15</v>
      </c>
      <c r="I33" s="9"/>
      <c r="J33" s="9"/>
      <c r="K33" s="9"/>
      <c r="L33" s="9"/>
      <c r="M33" s="9"/>
      <c r="N33" s="9"/>
      <c r="O33" s="9"/>
    </row>
    <row r="34" spans="2:15" x14ac:dyDescent="0.2">
      <c r="B34" s="3" t="s">
        <v>19</v>
      </c>
      <c r="C34" s="9"/>
      <c r="D34" s="9"/>
      <c r="E34" s="20">
        <f>F33</f>
        <v>190.66666666666666</v>
      </c>
      <c r="F34" s="20">
        <f t="shared" si="3"/>
        <v>236.33333333333331</v>
      </c>
      <c r="G34" s="19">
        <f t="shared" si="4"/>
        <v>1</v>
      </c>
      <c r="H34" s="19">
        <f t="shared" si="5"/>
        <v>0.05</v>
      </c>
      <c r="I34" s="9"/>
      <c r="J34" s="9"/>
      <c r="K34" s="9"/>
      <c r="L34" s="9"/>
      <c r="M34" s="9"/>
      <c r="N34" s="9"/>
      <c r="O34" s="9"/>
    </row>
    <row r="35" spans="2:15" x14ac:dyDescent="0.2">
      <c r="B35" s="3">
        <f>COUNT(B13:B32)</f>
        <v>20</v>
      </c>
      <c r="C35" s="9"/>
      <c r="D35" s="9"/>
      <c r="E35" s="20">
        <f>F34</f>
        <v>236.33333333333331</v>
      </c>
      <c r="F35" s="20">
        <f t="shared" si="3"/>
        <v>282</v>
      </c>
      <c r="G35" s="19">
        <f t="shared" si="4"/>
        <v>8</v>
      </c>
      <c r="H35" s="19">
        <f t="shared" si="5"/>
        <v>0.4</v>
      </c>
      <c r="I35" s="9"/>
      <c r="J35" s="9"/>
      <c r="K35" s="9"/>
      <c r="L35" s="9"/>
      <c r="M35" s="9"/>
      <c r="N35" s="9"/>
      <c r="O35" s="9"/>
    </row>
    <row r="36" spans="2:15" x14ac:dyDescent="0.2">
      <c r="C36" s="9"/>
      <c r="D36" s="9"/>
      <c r="E36" s="11"/>
      <c r="F36" s="11"/>
      <c r="G36" s="11"/>
      <c r="H36" s="11"/>
      <c r="I36" s="9"/>
      <c r="J36" s="9"/>
      <c r="K36" s="9"/>
      <c r="L36" s="9"/>
      <c r="M36" s="9"/>
      <c r="N36" s="9"/>
      <c r="O36" s="9"/>
    </row>
    <row r="37" spans="2:15" x14ac:dyDescent="0.2">
      <c r="C37" s="9"/>
      <c r="D37" s="9"/>
      <c r="E37" s="18"/>
      <c r="F37" s="11"/>
      <c r="G37" s="11"/>
      <c r="H37" s="11"/>
      <c r="I37" s="9"/>
      <c r="J37" s="9"/>
      <c r="K37" s="9"/>
      <c r="L37" s="9"/>
      <c r="M37" s="9"/>
      <c r="N37" s="9"/>
      <c r="O37" s="9"/>
    </row>
    <row r="38" spans="2:15" x14ac:dyDescent="0.2">
      <c r="D38" s="9"/>
      <c r="E38" s="18"/>
      <c r="F38" s="11"/>
      <c r="G38" s="11"/>
      <c r="H38" s="11"/>
      <c r="I38" s="9"/>
      <c r="J38" s="9"/>
      <c r="K38" s="9"/>
      <c r="L38" s="9"/>
      <c r="M38" s="9"/>
      <c r="N38" s="9"/>
      <c r="O38" s="9"/>
    </row>
    <row r="39" spans="2:15" x14ac:dyDescent="0.2">
      <c r="D39" s="9"/>
      <c r="E39" s="11"/>
      <c r="F39" s="11"/>
      <c r="G39" s="11"/>
      <c r="H39" s="11"/>
      <c r="I39" s="9"/>
      <c r="J39" s="9"/>
      <c r="K39" s="9"/>
      <c r="L39" s="9"/>
      <c r="M39" s="9"/>
      <c r="N39" s="9"/>
      <c r="O39" s="9"/>
    </row>
    <row r="40" spans="2:15" x14ac:dyDescent="0.2">
      <c r="D40" s="9"/>
      <c r="E40" s="11"/>
      <c r="F40" s="11"/>
      <c r="G40" s="11"/>
      <c r="H40" s="11"/>
      <c r="I40" s="9"/>
      <c r="J40" s="9"/>
      <c r="K40" s="9"/>
      <c r="L40" s="9"/>
      <c r="M40" s="9"/>
      <c r="N40" s="9"/>
      <c r="O40" s="9"/>
    </row>
    <row r="41" spans="2:15" x14ac:dyDescent="0.2">
      <c r="D41" s="9"/>
      <c r="E41" s="11"/>
      <c r="F41" s="11"/>
      <c r="G41" s="11"/>
      <c r="H41" s="11"/>
      <c r="I41" s="9"/>
      <c r="J41" s="9"/>
      <c r="K41" s="9"/>
      <c r="L41" s="9"/>
      <c r="M41" s="9"/>
      <c r="N41" s="9"/>
      <c r="O41" s="9"/>
    </row>
    <row r="42" spans="2:15" x14ac:dyDescent="0.2">
      <c r="D42" s="9"/>
      <c r="E42" s="11"/>
      <c r="F42" s="11"/>
      <c r="G42" s="11"/>
      <c r="H42" s="11"/>
      <c r="I42" s="9"/>
      <c r="J42" s="9"/>
      <c r="K42" s="9"/>
      <c r="L42" s="9"/>
      <c r="M42" s="9"/>
      <c r="N42" s="9"/>
      <c r="O42" s="9"/>
    </row>
    <row r="43" spans="2:15" x14ac:dyDescent="0.2">
      <c r="D43" s="9"/>
      <c r="E43" s="11"/>
      <c r="F43" s="11"/>
      <c r="G43" s="11"/>
      <c r="H43" s="11"/>
      <c r="I43" s="9"/>
      <c r="J43" s="9"/>
      <c r="K43" s="9"/>
      <c r="L43" s="9"/>
      <c r="M43" s="9"/>
      <c r="N43" s="9"/>
      <c r="O43" s="9"/>
    </row>
    <row r="44" spans="2:15" x14ac:dyDescent="0.2">
      <c r="D44" s="9"/>
      <c r="E44" s="11"/>
      <c r="F44" s="11"/>
      <c r="G44" s="11"/>
      <c r="H44" s="11"/>
      <c r="I44" s="9"/>
      <c r="J44" s="9"/>
      <c r="K44" s="9"/>
      <c r="L44" s="9"/>
      <c r="M44" s="9"/>
      <c r="N44" s="9"/>
      <c r="O44" s="9"/>
    </row>
    <row r="45" spans="2:15" x14ac:dyDescent="0.2">
      <c r="D45" s="9"/>
      <c r="E45" s="11"/>
      <c r="F45" s="11"/>
      <c r="G45" s="11"/>
      <c r="H45" s="11"/>
      <c r="I45" s="9"/>
      <c r="J45" s="9"/>
      <c r="K45" s="9"/>
      <c r="L45" s="9"/>
      <c r="M45" s="9"/>
      <c r="N45" s="9"/>
      <c r="O45" s="9"/>
    </row>
    <row r="46" spans="2:15" x14ac:dyDescent="0.2">
      <c r="D46" s="9"/>
      <c r="E46" s="11"/>
      <c r="F46" s="11"/>
      <c r="G46" s="11"/>
      <c r="H46" s="11"/>
      <c r="I46" s="9"/>
      <c r="J46" s="9"/>
      <c r="K46" s="9"/>
      <c r="L46" s="9"/>
      <c r="M46" s="9"/>
      <c r="N46" s="9"/>
      <c r="O46" s="9"/>
    </row>
  </sheetData>
  <sortState xmlns:xlrd2="http://schemas.microsoft.com/office/spreadsheetml/2017/richdata2" ref="B13:B32">
    <sortCondition ref="B1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Frequency distribution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Segun Longe</cp:lastModifiedBy>
  <dcterms:created xsi:type="dcterms:W3CDTF">2017-04-19T06:27:11Z</dcterms:created>
  <dcterms:modified xsi:type="dcterms:W3CDTF">2023-07-05T17:43:08Z</dcterms:modified>
</cp:coreProperties>
</file>