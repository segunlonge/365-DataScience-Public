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Downloads\"/>
    </mc:Choice>
  </mc:AlternateContent>
  <xr:revisionPtr revIDLastSave="0" documentId="13_ncr:1_{599EFF26-3911-4ED2-92D4-3B5E2DB78355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Jefferson Property" sheetId="1" r:id="rId1"/>
    <sheet name="Rental Price Colorado" sheetId="11" r:id="rId2"/>
    <sheet name="Houses Rental Price" sheetId="12" r:id="rId3"/>
    <sheet name="California vs Nevada " sheetId="13" r:id="rId4"/>
  </sheets>
  <definedNames>
    <definedName name="_xlnm._FilterDatabase" localSheetId="3" hidden="1">'California vs Nevada '!$B$5:$B$5</definedName>
    <definedName name="_xlnm._FilterDatabase" localSheetId="2" hidden="1">'Houses Rental Price'!$B$5:$G$5</definedName>
    <definedName name="_xlnm._FilterDatabase" localSheetId="0" hidden="1">'Jefferson Property'!$B$5:$G$174</definedName>
    <definedName name="_xlnm._FilterDatabase" localSheetId="1" hidden="1">'Rental Price Colorado'!$B$5:$G$5</definedName>
    <definedName name="_xlchart.v1.0" hidden="1">'Jefferson Property'!$E$5</definedName>
    <definedName name="_xlchart.v1.1" hidden="1">'Jefferson Property'!$E$6:$E$174</definedName>
    <definedName name="_xlchart.v1.2" hidden="1">'Jefferson Property'!$E$5</definedName>
    <definedName name="_xlchart.v1.3" hidden="1">'Jefferson Property'!$E$6:$E$174</definedName>
  </definedNames>
  <calcPr calcId="191029"/>
  <fileRecoveryPr autoRecover="0"/>
</workbook>
</file>

<file path=xl/calcChain.xml><?xml version="1.0" encoding="utf-8"?>
<calcChain xmlns="http://schemas.openxmlformats.org/spreadsheetml/2006/main">
  <c r="D35" i="12" l="1"/>
  <c r="C18" i="11"/>
  <c r="F9" i="13"/>
  <c r="F8" i="13"/>
  <c r="C19" i="11"/>
  <c r="D36" i="12"/>
  <c r="C17" i="11"/>
</calcChain>
</file>

<file path=xl/sharedStrings.xml><?xml version="1.0" encoding="utf-8"?>
<sst xmlns="http://schemas.openxmlformats.org/spreadsheetml/2006/main" count="645" uniqueCount="30">
  <si>
    <t>Apartment</t>
  </si>
  <si>
    <t>Area (ft.)</t>
  </si>
  <si>
    <t>USA</t>
  </si>
  <si>
    <t>State</t>
  </si>
  <si>
    <t>California</t>
  </si>
  <si>
    <t>Nevada</t>
  </si>
  <si>
    <t>Arizona</t>
  </si>
  <si>
    <t>Virginia</t>
  </si>
  <si>
    <t>Utah</t>
  </si>
  <si>
    <t>Oregon</t>
  </si>
  <si>
    <t>Colorado</t>
  </si>
  <si>
    <t>Wyoming</t>
  </si>
  <si>
    <t>Kansas</t>
  </si>
  <si>
    <t>Country</t>
  </si>
  <si>
    <t>Type of property</t>
  </si>
  <si>
    <t>House</t>
  </si>
  <si>
    <t>Year of rent</t>
  </si>
  <si>
    <t>Jefferson Property</t>
  </si>
  <si>
    <t>Rental Price</t>
  </si>
  <si>
    <t>Rental Price Colorado</t>
  </si>
  <si>
    <t xml:space="preserve">California vs Nevada </t>
  </si>
  <si>
    <t>Houses Rental Price</t>
  </si>
  <si>
    <t>mean</t>
  </si>
  <si>
    <t>mode</t>
  </si>
  <si>
    <t>median</t>
  </si>
  <si>
    <t>skewness</t>
  </si>
  <si>
    <t>variance</t>
  </si>
  <si>
    <t>Covariance</t>
  </si>
  <si>
    <t>Correlelation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</si>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</sst>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7" formatCode="0.000"/>
  </numFmts>
  <fonts count="6" x14ac:knownFonts="1">
    <font>
      <sz val="11"/>
      <color rgb="FF000000"/>
      <name val="Calibri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  <font>
      <b/>
      <sz val="12"/>
      <color theme="8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9CC2E5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" fontId="2" fillId="2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/>
    <xf numFmtId="165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002060"/>
      <color rgb="FFC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7BCEF6A-337C-4DCE-BCFE-FBCAFF900004}">
          <cx:tx>
            <cx:txData>
              <cx:f>_xlchart.v1.0</cx:f>
              <cx:v>Rental Price</cx:v>
            </cx:txData>
          </cx:tx>
          <cx:dataId val="0"/>
          <cx:layoutPr>
            <cx:binning intervalClosed="r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803087</xdr:colOff>
      <xdr:row>117</xdr:row>
      <xdr:rowOff>119534</xdr:rowOff>
    </xdr:from>
    <xdr:to>
      <xdr:col>15</xdr:col>
      <xdr:colOff>134469</xdr:colOff>
      <xdr:row>144</xdr:row>
      <xdr:rowOff>37352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8E36FF-38A6-1AD8-5E60-311B5C61C1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263" y="20222887"/>
              <a:ext cx="7638677" cy="4557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79"/>
  <sheetViews>
    <sheetView showGridLines="0" zoomScale="102" zoomScaleNormal="102" workbookViewId="0">
      <pane ySplit="5" topLeftCell="A117" activePane="bottomLeft" state="frozen"/>
      <selection pane="bottomLeft" activeCell="D155" sqref="D155"/>
    </sheetView>
  </sheetViews>
  <sheetFormatPr defaultColWidth="15.109375" defaultRowHeight="15" customHeight="1" x14ac:dyDescent="0.3"/>
  <cols>
    <col min="1" max="1" width="2" style="2" customWidth="1"/>
    <col min="2" max="2" width="13.88671875" style="2" bestFit="1" customWidth="1"/>
    <col min="3" max="3" width="13.88671875" style="2" customWidth="1"/>
    <col min="4" max="4" width="15.44140625" style="2" customWidth="1"/>
    <col min="5" max="5" width="12.77734375" style="2" customWidth="1"/>
    <col min="6" max="6" width="7.44140625" style="4" bestFit="1" customWidth="1"/>
    <col min="7" max="7" width="8" style="4" bestFit="1" customWidth="1"/>
    <col min="8" max="16384" width="15.109375" style="2"/>
  </cols>
  <sheetData>
    <row r="1" spans="2:7" ht="15.6" x14ac:dyDescent="0.3">
      <c r="B1" s="10" t="s">
        <v>17</v>
      </c>
      <c r="G1" s="3"/>
    </row>
    <row r="2" spans="2:7" ht="13.2" customHeight="1" x14ac:dyDescent="0.3">
      <c r="G2" s="3"/>
    </row>
    <row r="3" spans="2:7" ht="11.4" x14ac:dyDescent="0.3">
      <c r="G3" s="3"/>
    </row>
    <row r="4" spans="2:7" ht="15" customHeight="1" x14ac:dyDescent="0.3">
      <c r="B4" s="13"/>
      <c r="C4" s="13"/>
      <c r="D4" s="13"/>
      <c r="E4" s="13"/>
      <c r="F4" s="13"/>
      <c r="G4" s="13"/>
    </row>
    <row r="5" spans="2:7" ht="13.8" customHeight="1" thickBot="1" x14ac:dyDescent="0.35">
      <c r="B5" s="7" t="s">
        <v>14</v>
      </c>
      <c r="C5" s="7" t="s">
        <v>16</v>
      </c>
      <c r="D5" s="7" t="s">
        <v>1</v>
      </c>
      <c r="E5" s="7" t="s">
        <v>18</v>
      </c>
      <c r="F5" s="7" t="s">
        <v>13</v>
      </c>
      <c r="G5" s="7" t="s">
        <v>3</v>
      </c>
    </row>
    <row r="6" spans="2:7" ht="14.25" customHeight="1" x14ac:dyDescent="0.3">
      <c r="B6" s="1" t="s">
        <v>0</v>
      </c>
      <c r="C6" s="1">
        <v>2018</v>
      </c>
      <c r="D6" s="5">
        <v>743</v>
      </c>
      <c r="E6" s="8">
        <v>2461</v>
      </c>
      <c r="F6" s="1" t="s">
        <v>2</v>
      </c>
      <c r="G6" s="1" t="s">
        <v>4</v>
      </c>
    </row>
    <row r="7" spans="2:7" ht="14.25" customHeight="1" x14ac:dyDescent="0.3">
      <c r="B7" s="1" t="s">
        <v>0</v>
      </c>
      <c r="C7" s="1">
        <v>2013</v>
      </c>
      <c r="D7" s="5">
        <v>743</v>
      </c>
      <c r="E7" s="8">
        <v>2461</v>
      </c>
      <c r="F7" s="1" t="s">
        <v>2</v>
      </c>
      <c r="G7" s="1" t="s">
        <v>4</v>
      </c>
    </row>
    <row r="8" spans="2:7" ht="14.25" customHeight="1" x14ac:dyDescent="0.3">
      <c r="B8" s="1" t="s">
        <v>0</v>
      </c>
      <c r="C8" s="1">
        <v>2019</v>
      </c>
      <c r="D8" s="5">
        <v>743</v>
      </c>
      <c r="E8" s="8">
        <v>2461</v>
      </c>
      <c r="F8" s="1" t="s">
        <v>2</v>
      </c>
      <c r="G8" s="1" t="s">
        <v>4</v>
      </c>
    </row>
    <row r="9" spans="2:7" ht="14.25" customHeight="1" x14ac:dyDescent="0.3">
      <c r="B9" s="1" t="s">
        <v>0</v>
      </c>
      <c r="C9" s="1">
        <v>2013</v>
      </c>
      <c r="D9" s="5">
        <v>743</v>
      </c>
      <c r="E9" s="8">
        <v>2461</v>
      </c>
      <c r="F9" s="1" t="s">
        <v>2</v>
      </c>
      <c r="G9" s="1" t="s">
        <v>4</v>
      </c>
    </row>
    <row r="10" spans="2:7" ht="14.25" customHeight="1" x14ac:dyDescent="0.3">
      <c r="B10" s="1" t="s">
        <v>0</v>
      </c>
      <c r="C10" s="1">
        <v>2017</v>
      </c>
      <c r="D10" s="5">
        <v>743</v>
      </c>
      <c r="E10" s="8">
        <v>2461</v>
      </c>
      <c r="F10" s="1" t="s">
        <v>2</v>
      </c>
      <c r="G10" s="1" t="s">
        <v>4</v>
      </c>
    </row>
    <row r="11" spans="2:7" ht="14.25" customHeight="1" x14ac:dyDescent="0.3">
      <c r="B11" s="1" t="s">
        <v>0</v>
      </c>
      <c r="C11" s="1">
        <v>2016</v>
      </c>
      <c r="D11" s="5">
        <v>675</v>
      </c>
      <c r="E11" s="8">
        <v>2034</v>
      </c>
      <c r="F11" s="1" t="s">
        <v>2</v>
      </c>
      <c r="G11" s="1" t="s">
        <v>7</v>
      </c>
    </row>
    <row r="12" spans="2:7" ht="14.25" customHeight="1" x14ac:dyDescent="0.3">
      <c r="B12" s="1" t="s">
        <v>15</v>
      </c>
      <c r="C12" s="1">
        <v>2017</v>
      </c>
      <c r="D12" s="5">
        <v>670</v>
      </c>
      <c r="E12" s="8">
        <v>2125</v>
      </c>
      <c r="F12" s="1" t="s">
        <v>2</v>
      </c>
      <c r="G12" s="1" t="s">
        <v>7</v>
      </c>
    </row>
    <row r="13" spans="2:7" ht="14.25" customHeight="1" x14ac:dyDescent="0.3">
      <c r="B13" s="1" t="s">
        <v>0</v>
      </c>
      <c r="C13" s="1">
        <v>2016</v>
      </c>
      <c r="D13" s="5">
        <v>743</v>
      </c>
      <c r="E13" s="8">
        <v>2461</v>
      </c>
      <c r="F13" s="1" t="s">
        <v>2</v>
      </c>
      <c r="G13" s="1" t="s">
        <v>4</v>
      </c>
    </row>
    <row r="14" spans="2:7" ht="14.25" customHeight="1" x14ac:dyDescent="0.3">
      <c r="B14" s="1" t="s">
        <v>0</v>
      </c>
      <c r="C14" s="1">
        <v>2012</v>
      </c>
      <c r="D14" s="5">
        <v>782</v>
      </c>
      <c r="E14" s="8">
        <v>2654</v>
      </c>
      <c r="F14" s="1" t="s">
        <v>2</v>
      </c>
      <c r="G14" s="1" t="s">
        <v>6</v>
      </c>
    </row>
    <row r="15" spans="2:7" ht="14.25" customHeight="1" x14ac:dyDescent="0.3">
      <c r="B15" s="1" t="s">
        <v>0</v>
      </c>
      <c r="C15" s="1">
        <v>2017</v>
      </c>
      <c r="D15" s="5">
        <v>794</v>
      </c>
      <c r="E15" s="8">
        <v>2356</v>
      </c>
      <c r="F15" s="1" t="s">
        <v>2</v>
      </c>
      <c r="G15" s="1" t="s">
        <v>7</v>
      </c>
    </row>
    <row r="16" spans="2:7" ht="14.25" customHeight="1" x14ac:dyDescent="0.3">
      <c r="B16" s="1" t="s">
        <v>0</v>
      </c>
      <c r="C16" s="1">
        <v>2017</v>
      </c>
      <c r="D16" s="5">
        <v>1160</v>
      </c>
      <c r="E16" s="8">
        <v>3174</v>
      </c>
      <c r="F16" s="1" t="s">
        <v>2</v>
      </c>
      <c r="G16" s="1" t="s">
        <v>9</v>
      </c>
    </row>
    <row r="17" spans="2:7" ht="14.25" customHeight="1" x14ac:dyDescent="0.3">
      <c r="B17" s="1" t="s">
        <v>0</v>
      </c>
      <c r="C17" s="1">
        <v>2013</v>
      </c>
      <c r="D17" s="5">
        <v>743</v>
      </c>
      <c r="E17" s="8">
        <v>2461</v>
      </c>
      <c r="F17" s="1" t="s">
        <v>2</v>
      </c>
      <c r="G17" s="1" t="s">
        <v>4</v>
      </c>
    </row>
    <row r="18" spans="2:7" ht="14.25" customHeight="1" x14ac:dyDescent="0.3">
      <c r="B18" s="1" t="s">
        <v>0</v>
      </c>
      <c r="C18" s="1">
        <v>2012</v>
      </c>
      <c r="D18" s="5">
        <v>794</v>
      </c>
      <c r="E18" s="8">
        <v>2177</v>
      </c>
      <c r="F18" s="1" t="s">
        <v>2</v>
      </c>
      <c r="G18" s="1" t="s">
        <v>5</v>
      </c>
    </row>
    <row r="19" spans="2:7" ht="14.25" customHeight="1" x14ac:dyDescent="0.3">
      <c r="B19" s="1" t="s">
        <v>15</v>
      </c>
      <c r="C19" s="1">
        <v>2017</v>
      </c>
      <c r="D19" s="5">
        <v>743</v>
      </c>
      <c r="E19" s="8">
        <v>2461</v>
      </c>
      <c r="F19" s="1" t="s">
        <v>2</v>
      </c>
      <c r="G19" s="1" t="s">
        <v>4</v>
      </c>
    </row>
    <row r="20" spans="2:7" ht="14.25" customHeight="1" x14ac:dyDescent="0.3">
      <c r="B20" s="1" t="s">
        <v>0</v>
      </c>
      <c r="C20" s="1">
        <v>2018</v>
      </c>
      <c r="D20" s="5">
        <v>743</v>
      </c>
      <c r="E20" s="8">
        <v>2461</v>
      </c>
      <c r="F20" s="1" t="s">
        <v>2</v>
      </c>
      <c r="G20" s="1" t="s">
        <v>4</v>
      </c>
    </row>
    <row r="21" spans="2:7" ht="14.25" customHeight="1" x14ac:dyDescent="0.3">
      <c r="B21" s="1" t="s">
        <v>0</v>
      </c>
      <c r="C21" s="1">
        <v>2012</v>
      </c>
      <c r="D21" s="5">
        <v>743</v>
      </c>
      <c r="E21" s="8">
        <v>2461</v>
      </c>
      <c r="F21" s="1" t="s">
        <v>2</v>
      </c>
      <c r="G21" s="1" t="s">
        <v>4</v>
      </c>
    </row>
    <row r="22" spans="2:7" ht="12" customHeight="1" x14ac:dyDescent="0.3">
      <c r="B22" s="1" t="s">
        <v>0</v>
      </c>
      <c r="C22" s="1">
        <v>2019</v>
      </c>
      <c r="D22" s="5">
        <v>790</v>
      </c>
      <c r="E22" s="8">
        <v>2495</v>
      </c>
      <c r="F22" s="1" t="s">
        <v>2</v>
      </c>
      <c r="G22" s="1" t="s">
        <v>5</v>
      </c>
    </row>
    <row r="23" spans="2:7" ht="14.4" customHeight="1" x14ac:dyDescent="0.3">
      <c r="B23" s="1" t="s">
        <v>0</v>
      </c>
      <c r="C23" s="1">
        <v>2020</v>
      </c>
      <c r="D23" s="5">
        <v>723</v>
      </c>
      <c r="E23" s="8">
        <v>1961</v>
      </c>
      <c r="F23" s="1" t="s">
        <v>2</v>
      </c>
      <c r="G23" s="1" t="s">
        <v>10</v>
      </c>
    </row>
    <row r="24" spans="2:7" ht="14.25" customHeight="1" x14ac:dyDescent="0.3">
      <c r="B24" s="1" t="s">
        <v>0</v>
      </c>
      <c r="C24" s="1">
        <v>2016</v>
      </c>
      <c r="D24" s="5">
        <v>781</v>
      </c>
      <c r="E24" s="8">
        <v>2585</v>
      </c>
      <c r="F24" s="1" t="s">
        <v>2</v>
      </c>
      <c r="G24" s="1" t="s">
        <v>6</v>
      </c>
    </row>
    <row r="25" spans="2:7" ht="14.25" customHeight="1" x14ac:dyDescent="0.3">
      <c r="B25" s="1" t="s">
        <v>0</v>
      </c>
      <c r="C25" s="1">
        <v>2017</v>
      </c>
      <c r="D25" s="5">
        <v>1127</v>
      </c>
      <c r="E25" s="8">
        <v>3108</v>
      </c>
      <c r="F25" s="1" t="s">
        <v>2</v>
      </c>
      <c r="G25" s="1" t="s">
        <v>6</v>
      </c>
    </row>
    <row r="26" spans="2:7" ht="14.25" customHeight="1" x14ac:dyDescent="0.3">
      <c r="B26" s="1" t="s">
        <v>15</v>
      </c>
      <c r="C26" s="1">
        <v>2017</v>
      </c>
      <c r="D26" s="5">
        <v>720</v>
      </c>
      <c r="E26" s="8">
        <v>2072</v>
      </c>
      <c r="F26" s="1" t="s">
        <v>2</v>
      </c>
      <c r="G26" s="1" t="s">
        <v>5</v>
      </c>
    </row>
    <row r="27" spans="2:7" ht="14.25" customHeight="1" x14ac:dyDescent="0.3">
      <c r="B27" s="1" t="s">
        <v>0</v>
      </c>
      <c r="C27" s="1">
        <v>2013</v>
      </c>
      <c r="D27" s="5">
        <v>743</v>
      </c>
      <c r="E27" s="8">
        <v>2461</v>
      </c>
      <c r="F27" s="1" t="s">
        <v>2</v>
      </c>
      <c r="G27" s="1" t="s">
        <v>4</v>
      </c>
    </row>
    <row r="28" spans="2:7" ht="14.25" customHeight="1" x14ac:dyDescent="0.3">
      <c r="B28" s="1" t="s">
        <v>0</v>
      </c>
      <c r="C28" s="1">
        <v>2012</v>
      </c>
      <c r="D28" s="5">
        <v>743</v>
      </c>
      <c r="E28" s="8">
        <v>2461</v>
      </c>
      <c r="F28" s="1" t="s">
        <v>2</v>
      </c>
      <c r="G28" s="1" t="s">
        <v>4</v>
      </c>
    </row>
    <row r="29" spans="2:7" ht="14.25" customHeight="1" x14ac:dyDescent="0.3">
      <c r="B29" s="1" t="s">
        <v>0</v>
      </c>
      <c r="C29" s="1">
        <v>2015</v>
      </c>
      <c r="D29" s="5">
        <v>618</v>
      </c>
      <c r="E29" s="8">
        <v>1887</v>
      </c>
      <c r="F29" s="1" t="s">
        <v>2</v>
      </c>
      <c r="G29" s="1" t="s">
        <v>10</v>
      </c>
    </row>
    <row r="30" spans="2:7" ht="14.25" customHeight="1" x14ac:dyDescent="0.3">
      <c r="B30" s="1" t="s">
        <v>0</v>
      </c>
      <c r="C30" s="1">
        <v>2016</v>
      </c>
      <c r="D30" s="5">
        <v>743</v>
      </c>
      <c r="E30" s="8">
        <v>2461</v>
      </c>
      <c r="F30" s="1" t="s">
        <v>2</v>
      </c>
      <c r="G30" s="1" t="s">
        <v>4</v>
      </c>
    </row>
    <row r="31" spans="2:7" ht="14.25" customHeight="1" x14ac:dyDescent="0.3">
      <c r="B31" s="1" t="s">
        <v>0</v>
      </c>
      <c r="C31" s="1">
        <v>2018</v>
      </c>
      <c r="D31" s="5">
        <v>743</v>
      </c>
      <c r="E31" s="8">
        <v>2461</v>
      </c>
      <c r="F31" s="1" t="s">
        <v>2</v>
      </c>
      <c r="G31" s="1" t="s">
        <v>4</v>
      </c>
    </row>
    <row r="32" spans="2:7" ht="14.25" customHeight="1" x14ac:dyDescent="0.3">
      <c r="B32" s="1" t="s">
        <v>0</v>
      </c>
      <c r="C32" s="1">
        <v>2015</v>
      </c>
      <c r="D32" s="5">
        <v>670</v>
      </c>
      <c r="E32" s="8">
        <v>2003</v>
      </c>
      <c r="F32" s="1" t="s">
        <v>2</v>
      </c>
      <c r="G32" s="1" t="s">
        <v>8</v>
      </c>
    </row>
    <row r="33" spans="2:7" ht="14.25" customHeight="1" x14ac:dyDescent="0.3">
      <c r="B33" s="1" t="s">
        <v>15</v>
      </c>
      <c r="C33" s="1">
        <v>2019</v>
      </c>
      <c r="D33" s="5">
        <v>743</v>
      </c>
      <c r="E33" s="8">
        <v>2461</v>
      </c>
      <c r="F33" s="1" t="s">
        <v>2</v>
      </c>
      <c r="G33" s="1" t="s">
        <v>4</v>
      </c>
    </row>
    <row r="34" spans="2:7" ht="14.25" customHeight="1" x14ac:dyDescent="0.3">
      <c r="B34" s="1" t="s">
        <v>0</v>
      </c>
      <c r="C34" s="1">
        <v>2013</v>
      </c>
      <c r="D34" s="5">
        <v>743</v>
      </c>
      <c r="E34" s="8">
        <v>2461</v>
      </c>
      <c r="F34" s="1" t="s">
        <v>2</v>
      </c>
      <c r="G34" s="1" t="s">
        <v>4</v>
      </c>
    </row>
    <row r="35" spans="2:7" ht="14.25" customHeight="1" x14ac:dyDescent="0.3">
      <c r="B35" s="1" t="s">
        <v>0</v>
      </c>
      <c r="C35" s="1">
        <v>2019</v>
      </c>
      <c r="D35" s="5">
        <v>743</v>
      </c>
      <c r="E35" s="8">
        <v>2461</v>
      </c>
      <c r="F35" s="1" t="s">
        <v>2</v>
      </c>
      <c r="G35" s="1" t="s">
        <v>4</v>
      </c>
    </row>
    <row r="36" spans="2:7" ht="14.25" customHeight="1" x14ac:dyDescent="0.3">
      <c r="B36" s="1" t="s">
        <v>0</v>
      </c>
      <c r="C36" s="1">
        <v>2014</v>
      </c>
      <c r="D36" s="5">
        <v>1110</v>
      </c>
      <c r="E36" s="8">
        <v>3550</v>
      </c>
      <c r="F36" s="1" t="s">
        <v>2</v>
      </c>
      <c r="G36" s="1" t="s">
        <v>5</v>
      </c>
    </row>
    <row r="37" spans="2:7" ht="14.25" customHeight="1" x14ac:dyDescent="0.3">
      <c r="B37" s="1" t="s">
        <v>0</v>
      </c>
      <c r="C37" s="1">
        <v>2015</v>
      </c>
      <c r="D37" s="5">
        <v>743</v>
      </c>
      <c r="E37" s="8">
        <v>2461</v>
      </c>
      <c r="F37" s="1" t="s">
        <v>2</v>
      </c>
      <c r="G37" s="1" t="s">
        <v>4</v>
      </c>
    </row>
    <row r="38" spans="2:7" ht="14.25" customHeight="1" x14ac:dyDescent="0.3">
      <c r="B38" s="1" t="s">
        <v>0</v>
      </c>
      <c r="C38" s="1">
        <v>2013</v>
      </c>
      <c r="D38" s="5">
        <v>743</v>
      </c>
      <c r="E38" s="8">
        <v>2562</v>
      </c>
      <c r="F38" s="1" t="s">
        <v>2</v>
      </c>
      <c r="G38" s="1" t="s">
        <v>4</v>
      </c>
    </row>
    <row r="39" spans="2:7" ht="14.25" customHeight="1" x14ac:dyDescent="0.3">
      <c r="B39" s="1" t="s">
        <v>15</v>
      </c>
      <c r="C39" s="1">
        <v>2017</v>
      </c>
      <c r="D39" s="5">
        <v>743</v>
      </c>
      <c r="E39" s="8">
        <v>2461</v>
      </c>
      <c r="F39" s="1" t="s">
        <v>2</v>
      </c>
      <c r="G39" s="1" t="s">
        <v>4</v>
      </c>
    </row>
    <row r="40" spans="2:7" ht="14.25" customHeight="1" x14ac:dyDescent="0.3">
      <c r="B40" s="1" t="s">
        <v>0</v>
      </c>
      <c r="C40" s="1">
        <v>2013</v>
      </c>
      <c r="D40" s="5">
        <v>743</v>
      </c>
      <c r="E40" s="8">
        <v>2461</v>
      </c>
      <c r="F40" s="1" t="s">
        <v>2</v>
      </c>
      <c r="G40" s="1" t="s">
        <v>4</v>
      </c>
    </row>
    <row r="41" spans="2:7" ht="14.25" customHeight="1" x14ac:dyDescent="0.3">
      <c r="B41" s="1" t="s">
        <v>0</v>
      </c>
      <c r="C41" s="1">
        <v>2016</v>
      </c>
      <c r="D41" s="5">
        <v>923</v>
      </c>
      <c r="E41" s="8">
        <v>3122</v>
      </c>
      <c r="F41" s="1" t="s">
        <v>2</v>
      </c>
      <c r="G41" s="1" t="s">
        <v>10</v>
      </c>
    </row>
    <row r="42" spans="2:7" ht="14.25" customHeight="1" x14ac:dyDescent="0.3">
      <c r="B42" s="1" t="s">
        <v>0</v>
      </c>
      <c r="C42" s="1">
        <v>2014</v>
      </c>
      <c r="D42" s="5">
        <v>743</v>
      </c>
      <c r="E42" s="8">
        <v>2461</v>
      </c>
      <c r="F42" s="1" t="s">
        <v>2</v>
      </c>
      <c r="G42" s="1" t="s">
        <v>4</v>
      </c>
    </row>
    <row r="43" spans="2:7" ht="14.25" customHeight="1" x14ac:dyDescent="0.3">
      <c r="B43" s="1" t="s">
        <v>0</v>
      </c>
      <c r="C43" s="1">
        <v>2016</v>
      </c>
      <c r="D43" s="5">
        <v>743</v>
      </c>
      <c r="E43" s="8">
        <v>2461</v>
      </c>
      <c r="F43" s="1" t="s">
        <v>2</v>
      </c>
      <c r="G43" s="1" t="s">
        <v>4</v>
      </c>
    </row>
    <row r="44" spans="2:7" ht="14.25" customHeight="1" x14ac:dyDescent="0.3">
      <c r="B44" s="1" t="s">
        <v>0</v>
      </c>
      <c r="C44" s="1">
        <v>2016</v>
      </c>
      <c r="D44" s="5">
        <v>798</v>
      </c>
      <c r="E44" s="8">
        <v>2617</v>
      </c>
      <c r="F44" s="1" t="s">
        <v>2</v>
      </c>
      <c r="G44" s="1" t="s">
        <v>6</v>
      </c>
    </row>
    <row r="45" spans="2:7" ht="14.25" customHeight="1" x14ac:dyDescent="0.3">
      <c r="B45" s="1" t="s">
        <v>0</v>
      </c>
      <c r="C45" s="1">
        <v>2019</v>
      </c>
      <c r="D45" s="5">
        <v>743</v>
      </c>
      <c r="E45" s="8">
        <v>2461</v>
      </c>
      <c r="F45" s="1" t="s">
        <v>2</v>
      </c>
      <c r="G45" s="1" t="s">
        <v>4</v>
      </c>
    </row>
    <row r="46" spans="2:7" ht="14.25" customHeight="1" x14ac:dyDescent="0.3">
      <c r="B46" s="1" t="s">
        <v>0</v>
      </c>
      <c r="C46" s="1">
        <v>2015</v>
      </c>
      <c r="D46" s="5">
        <v>923</v>
      </c>
      <c r="E46" s="8">
        <v>2521</v>
      </c>
      <c r="F46" s="1" t="s">
        <v>2</v>
      </c>
      <c r="G46" s="1" t="s">
        <v>12</v>
      </c>
    </row>
    <row r="47" spans="2:7" ht="14.25" customHeight="1" x14ac:dyDescent="0.3">
      <c r="B47" s="1" t="s">
        <v>0</v>
      </c>
      <c r="C47" s="1">
        <v>2013</v>
      </c>
      <c r="D47" s="5">
        <v>743</v>
      </c>
      <c r="E47" s="8">
        <v>2461</v>
      </c>
      <c r="F47" s="1" t="s">
        <v>2</v>
      </c>
      <c r="G47" s="1" t="s">
        <v>4</v>
      </c>
    </row>
    <row r="48" spans="2:7" ht="14.25" customHeight="1" x14ac:dyDescent="0.3">
      <c r="B48" s="1" t="s">
        <v>0</v>
      </c>
      <c r="C48" s="1">
        <v>2018</v>
      </c>
      <c r="D48" s="5">
        <v>743</v>
      </c>
      <c r="E48" s="8">
        <v>2461</v>
      </c>
      <c r="F48" s="1" t="s">
        <v>2</v>
      </c>
      <c r="G48" s="1" t="s">
        <v>4</v>
      </c>
    </row>
    <row r="49" spans="2:7" ht="14.25" customHeight="1" x14ac:dyDescent="0.3">
      <c r="B49" s="1" t="s">
        <v>0</v>
      </c>
      <c r="C49" s="1">
        <v>2015</v>
      </c>
      <c r="D49" s="5">
        <v>743</v>
      </c>
      <c r="E49" s="8">
        <v>2461</v>
      </c>
      <c r="F49" s="1" t="s">
        <v>2</v>
      </c>
      <c r="G49" s="1" t="s">
        <v>4</v>
      </c>
    </row>
    <row r="50" spans="2:7" ht="14.25" customHeight="1" x14ac:dyDescent="0.3">
      <c r="B50" s="1" t="s">
        <v>0</v>
      </c>
      <c r="C50" s="1">
        <v>2012</v>
      </c>
      <c r="D50" s="5">
        <v>743</v>
      </c>
      <c r="E50" s="8">
        <v>2461</v>
      </c>
      <c r="F50" s="1" t="s">
        <v>2</v>
      </c>
      <c r="G50" s="1" t="s">
        <v>4</v>
      </c>
    </row>
    <row r="51" spans="2:7" ht="14.25" customHeight="1" x14ac:dyDescent="0.3">
      <c r="B51" s="1" t="s">
        <v>0</v>
      </c>
      <c r="C51" s="1">
        <v>2019</v>
      </c>
      <c r="D51" s="5">
        <v>743</v>
      </c>
      <c r="E51" s="8">
        <v>2461</v>
      </c>
      <c r="F51" s="1" t="s">
        <v>2</v>
      </c>
      <c r="G51" s="1" t="s">
        <v>4</v>
      </c>
    </row>
    <row r="52" spans="2:7" ht="14.25" customHeight="1" x14ac:dyDescent="0.3">
      <c r="B52" s="1" t="s">
        <v>0</v>
      </c>
      <c r="C52" s="1">
        <v>2013</v>
      </c>
      <c r="D52" s="5">
        <v>733</v>
      </c>
      <c r="E52" s="8">
        <v>1970</v>
      </c>
      <c r="F52" s="1" t="s">
        <v>2</v>
      </c>
      <c r="G52" s="1" t="s">
        <v>10</v>
      </c>
    </row>
    <row r="53" spans="2:7" ht="14.25" customHeight="1" x14ac:dyDescent="0.3">
      <c r="B53" s="1" t="s">
        <v>0</v>
      </c>
      <c r="C53" s="1">
        <v>2020</v>
      </c>
      <c r="D53" s="5">
        <v>747</v>
      </c>
      <c r="E53" s="8">
        <v>2370</v>
      </c>
      <c r="F53" s="1" t="s">
        <v>2</v>
      </c>
      <c r="G53" s="1" t="s">
        <v>10</v>
      </c>
    </row>
    <row r="54" spans="2:7" ht="14.25" customHeight="1" x14ac:dyDescent="0.3">
      <c r="B54" s="1" t="s">
        <v>0</v>
      </c>
      <c r="C54" s="1">
        <v>2014</v>
      </c>
      <c r="D54" s="5">
        <v>743</v>
      </c>
      <c r="E54" s="8">
        <v>2461</v>
      </c>
      <c r="F54" s="1" t="s">
        <v>2</v>
      </c>
      <c r="G54" s="1" t="s">
        <v>4</v>
      </c>
    </row>
    <row r="55" spans="2:7" ht="14.25" customHeight="1" x14ac:dyDescent="0.3">
      <c r="B55" s="1" t="s">
        <v>0</v>
      </c>
      <c r="C55" s="1">
        <v>2018</v>
      </c>
      <c r="D55" s="5">
        <v>743</v>
      </c>
      <c r="E55" s="8">
        <v>2461</v>
      </c>
      <c r="F55" s="1" t="s">
        <v>2</v>
      </c>
      <c r="G55" s="1" t="s">
        <v>4</v>
      </c>
    </row>
    <row r="56" spans="2:7" ht="14.25" customHeight="1" x14ac:dyDescent="0.3">
      <c r="B56" s="1" t="s">
        <v>0</v>
      </c>
      <c r="C56" s="1">
        <v>2018</v>
      </c>
      <c r="D56" s="5">
        <v>827</v>
      </c>
      <c r="E56" s="8">
        <v>2388</v>
      </c>
      <c r="F56" s="1" t="s">
        <v>2</v>
      </c>
      <c r="G56" s="1" t="s">
        <v>5</v>
      </c>
    </row>
    <row r="57" spans="2:7" ht="14.25" customHeight="1" x14ac:dyDescent="0.3">
      <c r="B57" s="1" t="s">
        <v>0</v>
      </c>
      <c r="C57" s="1">
        <v>2014</v>
      </c>
      <c r="D57" s="5">
        <v>747</v>
      </c>
      <c r="E57" s="8">
        <v>1961</v>
      </c>
      <c r="F57" s="1" t="s">
        <v>2</v>
      </c>
      <c r="G57" s="1" t="s">
        <v>10</v>
      </c>
    </row>
    <row r="58" spans="2:7" ht="14.25" customHeight="1" x14ac:dyDescent="0.3">
      <c r="B58" s="1" t="s">
        <v>0</v>
      </c>
      <c r="C58" s="1">
        <v>2016</v>
      </c>
      <c r="D58" s="5">
        <v>743</v>
      </c>
      <c r="E58" s="8">
        <v>2461</v>
      </c>
      <c r="F58" s="1" t="s">
        <v>2</v>
      </c>
      <c r="G58" s="1" t="s">
        <v>4</v>
      </c>
    </row>
    <row r="59" spans="2:7" ht="14.25" customHeight="1" x14ac:dyDescent="0.3">
      <c r="B59" s="1" t="s">
        <v>0</v>
      </c>
      <c r="C59" s="1">
        <v>2018</v>
      </c>
      <c r="D59" s="5">
        <v>743</v>
      </c>
      <c r="E59" s="8">
        <v>2461</v>
      </c>
      <c r="F59" s="1" t="s">
        <v>2</v>
      </c>
      <c r="G59" s="1" t="s">
        <v>4</v>
      </c>
    </row>
    <row r="60" spans="2:7" ht="14.25" customHeight="1" x14ac:dyDescent="0.3">
      <c r="B60" s="1" t="s">
        <v>0</v>
      </c>
      <c r="C60" s="1">
        <v>2012</v>
      </c>
      <c r="D60" s="5">
        <v>743</v>
      </c>
      <c r="E60" s="8">
        <v>2461</v>
      </c>
      <c r="F60" s="1" t="s">
        <v>2</v>
      </c>
      <c r="G60" s="1" t="s">
        <v>4</v>
      </c>
    </row>
    <row r="61" spans="2:7" ht="14.25" customHeight="1" x14ac:dyDescent="0.3">
      <c r="B61" s="1" t="s">
        <v>0</v>
      </c>
      <c r="C61" s="1">
        <v>2019</v>
      </c>
      <c r="D61" s="5">
        <v>743</v>
      </c>
      <c r="E61" s="8">
        <v>2461</v>
      </c>
      <c r="F61" s="1" t="s">
        <v>2</v>
      </c>
      <c r="G61" s="1" t="s">
        <v>4</v>
      </c>
    </row>
    <row r="62" spans="2:7" ht="14.25" customHeight="1" x14ac:dyDescent="0.3">
      <c r="B62" s="1" t="s">
        <v>0</v>
      </c>
      <c r="C62" s="1">
        <v>2020</v>
      </c>
      <c r="D62" s="5">
        <v>743</v>
      </c>
      <c r="E62" s="8">
        <v>2461</v>
      </c>
      <c r="F62" s="1" t="s">
        <v>2</v>
      </c>
      <c r="G62" s="1" t="s">
        <v>4</v>
      </c>
    </row>
    <row r="63" spans="2:7" ht="14.25" customHeight="1" x14ac:dyDescent="0.3">
      <c r="B63" s="1" t="s">
        <v>0</v>
      </c>
      <c r="C63" s="1">
        <v>2014</v>
      </c>
      <c r="D63" s="5">
        <v>798</v>
      </c>
      <c r="E63" s="8">
        <v>2785</v>
      </c>
      <c r="F63" s="1" t="s">
        <v>2</v>
      </c>
      <c r="G63" s="1" t="s">
        <v>9</v>
      </c>
    </row>
    <row r="64" spans="2:7" ht="14.25" customHeight="1" x14ac:dyDescent="0.3">
      <c r="B64" s="1" t="s">
        <v>0</v>
      </c>
      <c r="C64" s="1">
        <v>2018</v>
      </c>
      <c r="D64" s="5">
        <v>1305</v>
      </c>
      <c r="E64" s="8">
        <v>4020</v>
      </c>
      <c r="F64" s="1" t="s">
        <v>2</v>
      </c>
      <c r="G64" s="1" t="s">
        <v>8</v>
      </c>
    </row>
    <row r="65" spans="2:7" ht="14.25" customHeight="1" x14ac:dyDescent="0.3">
      <c r="B65" s="1" t="s">
        <v>0</v>
      </c>
      <c r="C65" s="1">
        <v>2018</v>
      </c>
      <c r="D65" s="5">
        <v>743</v>
      </c>
      <c r="E65" s="8">
        <v>2461</v>
      </c>
      <c r="F65" s="1" t="s">
        <v>2</v>
      </c>
      <c r="G65" s="1" t="s">
        <v>4</v>
      </c>
    </row>
    <row r="66" spans="2:7" ht="14.25" customHeight="1" x14ac:dyDescent="0.3">
      <c r="B66" s="1" t="s">
        <v>0</v>
      </c>
      <c r="C66" s="1">
        <v>2015</v>
      </c>
      <c r="D66" s="5">
        <v>743</v>
      </c>
      <c r="E66" s="8">
        <v>2461</v>
      </c>
      <c r="F66" s="1" t="s">
        <v>2</v>
      </c>
      <c r="G66" s="1" t="s">
        <v>4</v>
      </c>
    </row>
    <row r="67" spans="2:7" ht="14.25" customHeight="1" x14ac:dyDescent="0.3">
      <c r="B67" s="1" t="s">
        <v>0</v>
      </c>
      <c r="C67" s="1">
        <v>2014</v>
      </c>
      <c r="D67" s="5">
        <v>1109</v>
      </c>
      <c r="E67" s="8">
        <v>3445</v>
      </c>
      <c r="F67" s="1" t="s">
        <v>2</v>
      </c>
      <c r="G67" s="1" t="s">
        <v>10</v>
      </c>
    </row>
    <row r="68" spans="2:7" ht="14.25" customHeight="1" x14ac:dyDescent="0.3">
      <c r="B68" s="1" t="s">
        <v>0</v>
      </c>
      <c r="C68" s="1">
        <v>2016</v>
      </c>
      <c r="D68" s="5">
        <v>649</v>
      </c>
      <c r="E68" s="8">
        <v>2146</v>
      </c>
      <c r="F68" s="1" t="s">
        <v>2</v>
      </c>
      <c r="G68" s="1" t="s">
        <v>9</v>
      </c>
    </row>
    <row r="69" spans="2:7" ht="14.25" customHeight="1" x14ac:dyDescent="0.3">
      <c r="B69" s="1" t="s">
        <v>0</v>
      </c>
      <c r="C69" s="1">
        <v>2013</v>
      </c>
      <c r="D69" s="5">
        <v>743</v>
      </c>
      <c r="E69" s="8">
        <v>2461</v>
      </c>
      <c r="F69" s="1" t="s">
        <v>2</v>
      </c>
      <c r="G69" s="1" t="s">
        <v>4</v>
      </c>
    </row>
    <row r="70" spans="2:7" ht="14.25" customHeight="1" x14ac:dyDescent="0.3">
      <c r="B70" s="1" t="s">
        <v>0</v>
      </c>
      <c r="C70" s="1">
        <v>2012</v>
      </c>
      <c r="D70" s="5">
        <v>743</v>
      </c>
      <c r="E70" s="8">
        <v>2461</v>
      </c>
      <c r="F70" s="1" t="s">
        <v>2</v>
      </c>
      <c r="G70" s="1" t="s">
        <v>4</v>
      </c>
    </row>
    <row r="71" spans="2:7" ht="14.25" customHeight="1" x14ac:dyDescent="0.3">
      <c r="B71" s="1" t="s">
        <v>0</v>
      </c>
      <c r="C71" s="1">
        <v>2013</v>
      </c>
      <c r="D71" s="5">
        <v>743</v>
      </c>
      <c r="E71" s="8">
        <v>2461</v>
      </c>
      <c r="F71" s="1" t="s">
        <v>2</v>
      </c>
      <c r="G71" s="1" t="s">
        <v>4</v>
      </c>
    </row>
    <row r="72" spans="2:7" ht="14.25" customHeight="1" x14ac:dyDescent="0.3">
      <c r="B72" s="1" t="s">
        <v>0</v>
      </c>
      <c r="C72" s="1">
        <v>2018</v>
      </c>
      <c r="D72" s="5">
        <v>743</v>
      </c>
      <c r="E72" s="8">
        <v>2461</v>
      </c>
      <c r="F72" s="1" t="s">
        <v>2</v>
      </c>
      <c r="G72" s="1" t="s">
        <v>4</v>
      </c>
    </row>
    <row r="73" spans="2:7" ht="14.25" customHeight="1" x14ac:dyDescent="0.3">
      <c r="B73" s="1" t="s">
        <v>0</v>
      </c>
      <c r="C73" s="1">
        <v>2018</v>
      </c>
      <c r="D73" s="5">
        <v>649</v>
      </c>
      <c r="E73" s="8">
        <v>2244</v>
      </c>
      <c r="F73" s="1" t="s">
        <v>2</v>
      </c>
      <c r="G73" s="1" t="s">
        <v>9</v>
      </c>
    </row>
    <row r="74" spans="2:7" ht="14.25" customHeight="1" x14ac:dyDescent="0.3">
      <c r="B74" s="1" t="s">
        <v>0</v>
      </c>
      <c r="C74" s="1">
        <v>2020</v>
      </c>
      <c r="D74" s="5">
        <v>743</v>
      </c>
      <c r="E74" s="8">
        <v>2461</v>
      </c>
      <c r="F74" s="1" t="s">
        <v>2</v>
      </c>
      <c r="G74" s="1" t="s">
        <v>4</v>
      </c>
    </row>
    <row r="75" spans="2:7" ht="14.25" customHeight="1" x14ac:dyDescent="0.3">
      <c r="B75" s="1" t="s">
        <v>0</v>
      </c>
      <c r="C75" s="1">
        <v>2017</v>
      </c>
      <c r="D75" s="5">
        <v>785</v>
      </c>
      <c r="E75" s="8">
        <v>2208</v>
      </c>
      <c r="F75" s="1" t="s">
        <v>2</v>
      </c>
      <c r="G75" s="1" t="s">
        <v>5</v>
      </c>
    </row>
    <row r="76" spans="2:7" ht="14.25" customHeight="1" x14ac:dyDescent="0.3">
      <c r="B76" s="1" t="s">
        <v>0</v>
      </c>
      <c r="C76" s="1">
        <v>2015</v>
      </c>
      <c r="D76" s="5">
        <v>743</v>
      </c>
      <c r="E76" s="8">
        <v>2461</v>
      </c>
      <c r="F76" s="1" t="s">
        <v>2</v>
      </c>
      <c r="G76" s="1" t="s">
        <v>4</v>
      </c>
    </row>
    <row r="77" spans="2:7" ht="14.25" customHeight="1" x14ac:dyDescent="0.3">
      <c r="B77" s="1" t="s">
        <v>0</v>
      </c>
      <c r="C77" s="1">
        <v>2014</v>
      </c>
      <c r="D77" s="5">
        <v>743</v>
      </c>
      <c r="E77" s="8">
        <v>2461</v>
      </c>
      <c r="F77" s="1" t="s">
        <v>2</v>
      </c>
      <c r="G77" s="1" t="s">
        <v>4</v>
      </c>
    </row>
    <row r="78" spans="2:7" ht="14.25" customHeight="1" x14ac:dyDescent="0.3">
      <c r="B78" s="1" t="s">
        <v>15</v>
      </c>
      <c r="C78" s="1">
        <v>2014</v>
      </c>
      <c r="D78" s="5">
        <v>743</v>
      </c>
      <c r="E78" s="8">
        <v>2461</v>
      </c>
      <c r="F78" s="1" t="s">
        <v>2</v>
      </c>
      <c r="G78" s="1" t="s">
        <v>4</v>
      </c>
    </row>
    <row r="79" spans="2:7" ht="14.25" customHeight="1" x14ac:dyDescent="0.3">
      <c r="B79" s="1" t="s">
        <v>15</v>
      </c>
      <c r="C79" s="1">
        <v>2017</v>
      </c>
      <c r="D79" s="5">
        <v>743</v>
      </c>
      <c r="E79" s="8">
        <v>2461</v>
      </c>
      <c r="F79" s="1" t="s">
        <v>2</v>
      </c>
      <c r="G79" s="1" t="s">
        <v>4</v>
      </c>
    </row>
    <row r="80" spans="2:7" ht="14.25" customHeight="1" x14ac:dyDescent="0.3">
      <c r="B80" s="1" t="s">
        <v>15</v>
      </c>
      <c r="C80" s="1">
        <v>2020</v>
      </c>
      <c r="D80" s="5">
        <v>743</v>
      </c>
      <c r="E80" s="8">
        <v>2461</v>
      </c>
      <c r="F80" s="1" t="s">
        <v>2</v>
      </c>
      <c r="G80" s="1" t="s">
        <v>4</v>
      </c>
    </row>
    <row r="81" spans="2:7" ht="14.25" customHeight="1" x14ac:dyDescent="0.3">
      <c r="B81" s="1" t="s">
        <v>15</v>
      </c>
      <c r="C81" s="1">
        <v>2019</v>
      </c>
      <c r="D81" s="5">
        <v>743</v>
      </c>
      <c r="E81" s="8">
        <v>2461</v>
      </c>
      <c r="F81" s="1" t="s">
        <v>2</v>
      </c>
      <c r="G81" s="1" t="s">
        <v>4</v>
      </c>
    </row>
    <row r="82" spans="2:7" ht="14.25" customHeight="1" x14ac:dyDescent="0.3">
      <c r="B82" s="1" t="s">
        <v>15</v>
      </c>
      <c r="C82" s="1">
        <v>2013</v>
      </c>
      <c r="D82" s="5">
        <v>743</v>
      </c>
      <c r="E82" s="8">
        <v>2461</v>
      </c>
      <c r="F82" s="1" t="s">
        <v>2</v>
      </c>
      <c r="G82" s="1" t="s">
        <v>4</v>
      </c>
    </row>
    <row r="83" spans="2:7" ht="14.25" customHeight="1" x14ac:dyDescent="0.3">
      <c r="B83" s="1" t="s">
        <v>15</v>
      </c>
      <c r="C83" s="1">
        <v>2016</v>
      </c>
      <c r="D83" s="5">
        <v>743</v>
      </c>
      <c r="E83" s="8">
        <v>2461</v>
      </c>
      <c r="F83" s="1" t="s">
        <v>2</v>
      </c>
      <c r="G83" s="1" t="s">
        <v>4</v>
      </c>
    </row>
    <row r="84" spans="2:7" ht="14.25" customHeight="1" x14ac:dyDescent="0.3">
      <c r="B84" s="1" t="s">
        <v>0</v>
      </c>
      <c r="C84" s="1">
        <v>2014</v>
      </c>
      <c r="D84" s="5">
        <v>743</v>
      </c>
      <c r="E84" s="8">
        <v>2461</v>
      </c>
      <c r="F84" s="1" t="s">
        <v>2</v>
      </c>
      <c r="G84" s="1" t="s">
        <v>4</v>
      </c>
    </row>
    <row r="85" spans="2:7" ht="14.25" customHeight="1" x14ac:dyDescent="0.3">
      <c r="B85" s="1" t="s">
        <v>0</v>
      </c>
      <c r="C85" s="1">
        <v>2019</v>
      </c>
      <c r="D85" s="5">
        <v>743</v>
      </c>
      <c r="E85" s="8">
        <v>2461</v>
      </c>
      <c r="F85" s="1" t="s">
        <v>2</v>
      </c>
      <c r="G85" s="1" t="s">
        <v>4</v>
      </c>
    </row>
    <row r="86" spans="2:7" ht="14.25" customHeight="1" x14ac:dyDescent="0.3">
      <c r="B86" s="1" t="s">
        <v>0</v>
      </c>
      <c r="C86" s="1">
        <v>2015</v>
      </c>
      <c r="D86" s="5">
        <v>701</v>
      </c>
      <c r="E86" s="8">
        <v>2122</v>
      </c>
      <c r="F86" s="1" t="s">
        <v>2</v>
      </c>
      <c r="G86" s="1" t="s">
        <v>10</v>
      </c>
    </row>
    <row r="87" spans="2:7" ht="14.25" customHeight="1" x14ac:dyDescent="0.3">
      <c r="B87" s="1" t="s">
        <v>0</v>
      </c>
      <c r="C87" s="1">
        <v>2019</v>
      </c>
      <c r="D87" s="5">
        <v>743</v>
      </c>
      <c r="E87" s="8">
        <v>2461</v>
      </c>
      <c r="F87" s="1" t="s">
        <v>2</v>
      </c>
      <c r="G87" s="1" t="s">
        <v>4</v>
      </c>
    </row>
    <row r="88" spans="2:7" ht="14.25" customHeight="1" x14ac:dyDescent="0.3">
      <c r="B88" s="1" t="s">
        <v>0</v>
      </c>
      <c r="C88" s="1">
        <v>2013</v>
      </c>
      <c r="D88" s="5">
        <v>743</v>
      </c>
      <c r="E88" s="8">
        <v>2461</v>
      </c>
      <c r="F88" s="1" t="s">
        <v>2</v>
      </c>
      <c r="G88" s="1" t="s">
        <v>4</v>
      </c>
    </row>
    <row r="89" spans="2:7" ht="14.25" customHeight="1" x14ac:dyDescent="0.3">
      <c r="B89" s="1" t="s">
        <v>0</v>
      </c>
      <c r="C89" s="1">
        <v>2013</v>
      </c>
      <c r="D89" s="5">
        <v>743</v>
      </c>
      <c r="E89" s="8">
        <v>2461</v>
      </c>
      <c r="F89" s="1" t="s">
        <v>2</v>
      </c>
      <c r="G89" s="1" t="s">
        <v>4</v>
      </c>
    </row>
    <row r="90" spans="2:7" ht="14.25" customHeight="1" x14ac:dyDescent="0.3">
      <c r="B90" s="1" t="s">
        <v>0</v>
      </c>
      <c r="C90" s="1">
        <v>2017</v>
      </c>
      <c r="D90" s="5">
        <v>743</v>
      </c>
      <c r="E90" s="8">
        <v>2461</v>
      </c>
      <c r="F90" s="1" t="s">
        <v>2</v>
      </c>
      <c r="G90" s="1" t="s">
        <v>4</v>
      </c>
    </row>
    <row r="91" spans="2:7" ht="14.25" customHeight="1" x14ac:dyDescent="0.3">
      <c r="B91" s="1" t="s">
        <v>15</v>
      </c>
      <c r="C91" s="1">
        <v>2018</v>
      </c>
      <c r="D91" s="5">
        <v>743</v>
      </c>
      <c r="E91" s="8">
        <v>2461</v>
      </c>
      <c r="F91" s="1" t="s">
        <v>2</v>
      </c>
      <c r="G91" s="1" t="s">
        <v>4</v>
      </c>
    </row>
    <row r="92" spans="2:7" ht="14.25" customHeight="1" x14ac:dyDescent="0.3">
      <c r="B92" s="1" t="s">
        <v>0</v>
      </c>
      <c r="C92" s="1">
        <v>2020</v>
      </c>
      <c r="D92" s="5">
        <v>743</v>
      </c>
      <c r="E92" s="8">
        <v>2461</v>
      </c>
      <c r="F92" s="1" t="s">
        <v>2</v>
      </c>
      <c r="G92" s="1" t="s">
        <v>4</v>
      </c>
    </row>
    <row r="93" spans="2:7" ht="14.25" customHeight="1" x14ac:dyDescent="0.3">
      <c r="B93" s="1" t="s">
        <v>0</v>
      </c>
      <c r="C93" s="1">
        <v>2019</v>
      </c>
      <c r="D93" s="5">
        <v>649</v>
      </c>
      <c r="E93" s="8">
        <v>1980</v>
      </c>
      <c r="F93" s="1" t="s">
        <v>2</v>
      </c>
      <c r="G93" s="1" t="s">
        <v>8</v>
      </c>
    </row>
    <row r="94" spans="2:7" ht="14.25" customHeight="1" x14ac:dyDescent="0.3">
      <c r="B94" s="1" t="s">
        <v>0</v>
      </c>
      <c r="C94" s="1">
        <v>2019</v>
      </c>
      <c r="D94" s="5">
        <v>743</v>
      </c>
      <c r="E94" s="8">
        <v>2461</v>
      </c>
      <c r="F94" s="1" t="s">
        <v>2</v>
      </c>
      <c r="G94" s="1" t="s">
        <v>4</v>
      </c>
    </row>
    <row r="95" spans="2:7" ht="14.25" customHeight="1" x14ac:dyDescent="0.3">
      <c r="B95" s="1" t="s">
        <v>0</v>
      </c>
      <c r="C95" s="1">
        <v>2020</v>
      </c>
      <c r="D95" s="5">
        <v>743</v>
      </c>
      <c r="E95" s="8">
        <v>2461</v>
      </c>
      <c r="F95" s="1" t="s">
        <v>2</v>
      </c>
      <c r="G95" s="1" t="s">
        <v>4</v>
      </c>
    </row>
    <row r="96" spans="2:7" ht="14.25" customHeight="1" x14ac:dyDescent="0.3">
      <c r="B96" s="1" t="s">
        <v>0</v>
      </c>
      <c r="C96" s="1">
        <v>2013</v>
      </c>
      <c r="D96" s="5">
        <v>743</v>
      </c>
      <c r="E96" s="8">
        <v>2461</v>
      </c>
      <c r="F96" s="1" t="s">
        <v>2</v>
      </c>
      <c r="G96" s="1" t="s">
        <v>4</v>
      </c>
    </row>
    <row r="97" spans="2:7" ht="14.25" customHeight="1" x14ac:dyDescent="0.3">
      <c r="B97" s="1" t="s">
        <v>0</v>
      </c>
      <c r="C97" s="1">
        <v>2015</v>
      </c>
      <c r="D97" s="5">
        <v>743</v>
      </c>
      <c r="E97" s="8">
        <v>2461</v>
      </c>
      <c r="F97" s="1" t="s">
        <v>2</v>
      </c>
      <c r="G97" s="1" t="s">
        <v>4</v>
      </c>
    </row>
    <row r="98" spans="2:7" ht="14.25" customHeight="1" x14ac:dyDescent="0.3">
      <c r="B98" s="1" t="s">
        <v>0</v>
      </c>
      <c r="C98" s="1">
        <v>2017</v>
      </c>
      <c r="D98" s="5">
        <v>785</v>
      </c>
      <c r="E98" s="8">
        <v>1951</v>
      </c>
      <c r="F98" s="1" t="s">
        <v>2</v>
      </c>
      <c r="G98" s="1" t="s">
        <v>9</v>
      </c>
    </row>
    <row r="99" spans="2:7" ht="14.25" customHeight="1" x14ac:dyDescent="0.3">
      <c r="B99" s="1" t="s">
        <v>0</v>
      </c>
      <c r="C99" s="1">
        <v>2014</v>
      </c>
      <c r="D99" s="5">
        <v>743</v>
      </c>
      <c r="E99" s="8">
        <v>2461</v>
      </c>
      <c r="F99" s="1" t="s">
        <v>2</v>
      </c>
      <c r="G99" s="1" t="s">
        <v>4</v>
      </c>
    </row>
    <row r="100" spans="2:7" ht="14.25" customHeight="1" x14ac:dyDescent="0.3">
      <c r="B100" s="1" t="s">
        <v>0</v>
      </c>
      <c r="C100" s="1">
        <v>2019</v>
      </c>
      <c r="D100" s="5">
        <v>743</v>
      </c>
      <c r="E100" s="8">
        <v>2461</v>
      </c>
      <c r="F100" s="1" t="s">
        <v>2</v>
      </c>
      <c r="G100" s="1" t="s">
        <v>4</v>
      </c>
    </row>
    <row r="101" spans="2:7" ht="14.25" customHeight="1" x14ac:dyDescent="0.3">
      <c r="B101" s="1" t="s">
        <v>0</v>
      </c>
      <c r="C101" s="1">
        <v>2014</v>
      </c>
      <c r="D101" s="5">
        <v>743</v>
      </c>
      <c r="E101" s="8">
        <v>2461</v>
      </c>
      <c r="F101" s="1" t="s">
        <v>2</v>
      </c>
      <c r="G101" s="1" t="s">
        <v>4</v>
      </c>
    </row>
    <row r="102" spans="2:7" ht="14.25" customHeight="1" x14ac:dyDescent="0.3">
      <c r="B102" s="1" t="s">
        <v>0</v>
      </c>
      <c r="C102" s="1">
        <v>2020</v>
      </c>
      <c r="D102" s="5">
        <v>743</v>
      </c>
      <c r="E102" s="8">
        <v>2461</v>
      </c>
      <c r="F102" s="1" t="s">
        <v>2</v>
      </c>
      <c r="G102" s="1" t="s">
        <v>4</v>
      </c>
    </row>
    <row r="103" spans="2:7" ht="14.25" customHeight="1" x14ac:dyDescent="0.3">
      <c r="B103" s="1" t="s">
        <v>0</v>
      </c>
      <c r="C103" s="1">
        <v>2018</v>
      </c>
      <c r="D103" s="5">
        <v>743</v>
      </c>
      <c r="E103" s="8">
        <v>2461</v>
      </c>
      <c r="F103" s="1" t="s">
        <v>2</v>
      </c>
      <c r="G103" s="1" t="s">
        <v>4</v>
      </c>
    </row>
    <row r="104" spans="2:7" ht="14.25" customHeight="1" x14ac:dyDescent="0.3">
      <c r="B104" s="1" t="s">
        <v>0</v>
      </c>
      <c r="C104" s="1">
        <v>2020</v>
      </c>
      <c r="D104" s="5">
        <v>743</v>
      </c>
      <c r="E104" s="8">
        <v>2461</v>
      </c>
      <c r="F104" s="1" t="s">
        <v>2</v>
      </c>
      <c r="G104" s="1" t="s">
        <v>4</v>
      </c>
    </row>
    <row r="105" spans="2:7" ht="14.25" customHeight="1" x14ac:dyDescent="0.3">
      <c r="B105" s="1" t="s">
        <v>0</v>
      </c>
      <c r="C105" s="1">
        <v>2019</v>
      </c>
      <c r="D105" s="5">
        <v>743</v>
      </c>
      <c r="E105" s="8">
        <v>2461</v>
      </c>
      <c r="F105" s="1" t="s">
        <v>2</v>
      </c>
      <c r="G105" s="1" t="s">
        <v>4</v>
      </c>
    </row>
    <row r="106" spans="2:7" ht="14.25" customHeight="1" x14ac:dyDescent="0.3">
      <c r="B106" s="1" t="s">
        <v>0</v>
      </c>
      <c r="C106" s="1">
        <v>2015</v>
      </c>
      <c r="D106" s="5">
        <v>743</v>
      </c>
      <c r="E106" s="8">
        <v>2461</v>
      </c>
      <c r="F106" s="1" t="s">
        <v>2</v>
      </c>
      <c r="G106" s="1" t="s">
        <v>4</v>
      </c>
    </row>
    <row r="107" spans="2:7" ht="14.25" customHeight="1" x14ac:dyDescent="0.3">
      <c r="B107" s="1" t="s">
        <v>0</v>
      </c>
      <c r="C107" s="1">
        <v>2017</v>
      </c>
      <c r="D107" s="5">
        <v>743</v>
      </c>
      <c r="E107" s="8">
        <v>2461</v>
      </c>
      <c r="F107" s="1" t="s">
        <v>2</v>
      </c>
      <c r="G107" s="1" t="s">
        <v>4</v>
      </c>
    </row>
    <row r="108" spans="2:7" ht="14.25" customHeight="1" x14ac:dyDescent="0.3">
      <c r="B108" s="1" t="s">
        <v>0</v>
      </c>
      <c r="C108" s="1">
        <v>2020</v>
      </c>
      <c r="D108" s="5">
        <v>743</v>
      </c>
      <c r="E108" s="8">
        <v>2461</v>
      </c>
      <c r="F108" s="1" t="s">
        <v>2</v>
      </c>
      <c r="G108" s="1" t="s">
        <v>4</v>
      </c>
    </row>
    <row r="109" spans="2:7" ht="14.25" customHeight="1" x14ac:dyDescent="0.3">
      <c r="B109" s="1" t="s">
        <v>0</v>
      </c>
      <c r="C109" s="1">
        <v>2018</v>
      </c>
      <c r="D109" s="5">
        <v>743</v>
      </c>
      <c r="E109" s="8">
        <v>2461</v>
      </c>
      <c r="F109" s="1" t="s">
        <v>2</v>
      </c>
      <c r="G109" s="1" t="s">
        <v>4</v>
      </c>
    </row>
    <row r="110" spans="2:7" ht="14.25" customHeight="1" x14ac:dyDescent="0.3">
      <c r="B110" s="1" t="s">
        <v>0</v>
      </c>
      <c r="C110" s="1">
        <v>2017</v>
      </c>
      <c r="D110" s="5">
        <v>743</v>
      </c>
      <c r="E110" s="8">
        <v>2461</v>
      </c>
      <c r="F110" s="1" t="s">
        <v>2</v>
      </c>
      <c r="G110" s="1" t="s">
        <v>4</v>
      </c>
    </row>
    <row r="111" spans="2:7" ht="14.25" customHeight="1" x14ac:dyDescent="0.3">
      <c r="B111" s="1" t="s">
        <v>0</v>
      </c>
      <c r="C111" s="1">
        <v>2016</v>
      </c>
      <c r="D111" s="5">
        <v>743</v>
      </c>
      <c r="E111" s="8">
        <v>2461</v>
      </c>
      <c r="F111" s="1" t="s">
        <v>2</v>
      </c>
      <c r="G111" s="1" t="s">
        <v>4</v>
      </c>
    </row>
    <row r="112" spans="2:7" ht="14.25" customHeight="1" x14ac:dyDescent="0.3">
      <c r="B112" s="1" t="s">
        <v>0</v>
      </c>
      <c r="C112" s="1">
        <v>2017</v>
      </c>
      <c r="D112" s="5">
        <v>743</v>
      </c>
      <c r="E112" s="8">
        <v>2461</v>
      </c>
      <c r="F112" s="1" t="s">
        <v>2</v>
      </c>
      <c r="G112" s="1" t="s">
        <v>4</v>
      </c>
    </row>
    <row r="113" spans="2:7" ht="14.25" customHeight="1" x14ac:dyDescent="0.3">
      <c r="B113" s="1" t="s">
        <v>0</v>
      </c>
      <c r="C113" s="1">
        <v>2017</v>
      </c>
      <c r="D113" s="5">
        <v>1057</v>
      </c>
      <c r="E113" s="8">
        <v>3575</v>
      </c>
      <c r="F113" s="1" t="s">
        <v>2</v>
      </c>
      <c r="G113" s="1" t="s">
        <v>5</v>
      </c>
    </row>
    <row r="114" spans="2:7" ht="14.25" customHeight="1" x14ac:dyDescent="0.3">
      <c r="B114" s="1" t="s">
        <v>0</v>
      </c>
      <c r="C114" s="1">
        <v>2018</v>
      </c>
      <c r="D114" s="5">
        <v>743</v>
      </c>
      <c r="E114" s="8">
        <v>2461</v>
      </c>
      <c r="F114" s="1" t="s">
        <v>2</v>
      </c>
      <c r="G114" s="1" t="s">
        <v>4</v>
      </c>
    </row>
    <row r="115" spans="2:7" ht="14.25" customHeight="1" x14ac:dyDescent="0.3">
      <c r="B115" s="9" t="s">
        <v>0</v>
      </c>
      <c r="C115" s="1">
        <v>2018</v>
      </c>
      <c r="D115" s="5">
        <v>743</v>
      </c>
      <c r="E115" s="8">
        <v>2461</v>
      </c>
      <c r="F115" s="1" t="s">
        <v>2</v>
      </c>
      <c r="G115" s="1" t="s">
        <v>4</v>
      </c>
    </row>
    <row r="116" spans="2:7" ht="14.25" customHeight="1" x14ac:dyDescent="0.3">
      <c r="B116" s="1" t="s">
        <v>0</v>
      </c>
      <c r="C116" s="1">
        <v>2019</v>
      </c>
      <c r="D116" s="5">
        <v>743</v>
      </c>
      <c r="E116" s="8">
        <v>2461</v>
      </c>
      <c r="F116" s="1" t="s">
        <v>2</v>
      </c>
      <c r="G116" s="1" t="s">
        <v>4</v>
      </c>
    </row>
    <row r="117" spans="2:7" ht="14.25" customHeight="1" x14ac:dyDescent="0.3">
      <c r="B117" s="1" t="s">
        <v>15</v>
      </c>
      <c r="C117" s="1">
        <v>2015</v>
      </c>
      <c r="D117" s="5">
        <v>781</v>
      </c>
      <c r="E117" s="8">
        <v>2530</v>
      </c>
      <c r="F117" s="1" t="s">
        <v>2</v>
      </c>
      <c r="G117" s="1" t="s">
        <v>6</v>
      </c>
    </row>
    <row r="118" spans="2:7" ht="14.25" customHeight="1" x14ac:dyDescent="0.3">
      <c r="B118" s="1" t="s">
        <v>15</v>
      </c>
      <c r="C118" s="1">
        <v>2017</v>
      </c>
      <c r="D118" s="5">
        <v>782</v>
      </c>
      <c r="E118" s="8">
        <v>2341</v>
      </c>
      <c r="F118" s="1" t="s">
        <v>2</v>
      </c>
      <c r="G118" s="1" t="s">
        <v>5</v>
      </c>
    </row>
    <row r="119" spans="2:7" ht="14.25" customHeight="1" x14ac:dyDescent="0.3">
      <c r="B119" s="1" t="s">
        <v>15</v>
      </c>
      <c r="C119" s="1">
        <v>2017</v>
      </c>
      <c r="D119" s="5">
        <v>733</v>
      </c>
      <c r="E119" s="8">
        <v>2006</v>
      </c>
      <c r="F119" s="1" t="s">
        <v>2</v>
      </c>
      <c r="G119" s="1" t="s">
        <v>10</v>
      </c>
    </row>
    <row r="120" spans="2:7" ht="14.25" customHeight="1" x14ac:dyDescent="0.3">
      <c r="B120" s="1" t="s">
        <v>15</v>
      </c>
      <c r="C120" s="1">
        <v>2013</v>
      </c>
      <c r="D120" s="5">
        <v>743</v>
      </c>
      <c r="E120" s="8">
        <v>2461</v>
      </c>
      <c r="F120" s="1" t="s">
        <v>2</v>
      </c>
      <c r="G120" s="1" t="s">
        <v>4</v>
      </c>
    </row>
    <row r="121" spans="2:7" ht="14.25" customHeight="1" x14ac:dyDescent="0.3">
      <c r="B121" s="1" t="s">
        <v>15</v>
      </c>
      <c r="C121" s="1">
        <v>2018</v>
      </c>
      <c r="D121" s="5">
        <v>743</v>
      </c>
      <c r="E121" s="8">
        <v>2461</v>
      </c>
      <c r="F121" s="1" t="s">
        <v>2</v>
      </c>
      <c r="G121" s="1" t="s">
        <v>4</v>
      </c>
    </row>
    <row r="122" spans="2:7" ht="14.25" customHeight="1" x14ac:dyDescent="0.3">
      <c r="B122" s="1" t="s">
        <v>15</v>
      </c>
      <c r="C122" s="1">
        <v>2017</v>
      </c>
      <c r="D122" s="5">
        <v>756</v>
      </c>
      <c r="E122" s="8">
        <v>2185</v>
      </c>
      <c r="F122" s="1" t="s">
        <v>2</v>
      </c>
      <c r="G122" s="1" t="s">
        <v>8</v>
      </c>
    </row>
    <row r="123" spans="2:7" ht="14.25" customHeight="1" x14ac:dyDescent="0.3">
      <c r="B123" s="1" t="s">
        <v>15</v>
      </c>
      <c r="C123" s="1">
        <v>2020</v>
      </c>
      <c r="D123" s="5">
        <v>736</v>
      </c>
      <c r="E123" s="8">
        <v>1988</v>
      </c>
      <c r="F123" s="1" t="s">
        <v>2</v>
      </c>
      <c r="G123" s="1" t="s">
        <v>5</v>
      </c>
    </row>
    <row r="124" spans="2:7" ht="14.25" customHeight="1" x14ac:dyDescent="0.3">
      <c r="B124" s="1" t="s">
        <v>15</v>
      </c>
      <c r="C124" s="1">
        <v>2012</v>
      </c>
      <c r="D124" s="5">
        <v>785</v>
      </c>
      <c r="E124" s="8">
        <v>2529</v>
      </c>
      <c r="F124" s="1" t="s">
        <v>2</v>
      </c>
      <c r="G124" s="1" t="s">
        <v>10</v>
      </c>
    </row>
    <row r="125" spans="2:7" ht="14.25" customHeight="1" x14ac:dyDescent="0.3">
      <c r="B125" s="1" t="s">
        <v>15</v>
      </c>
      <c r="C125" s="1">
        <v>2016</v>
      </c>
      <c r="D125" s="5">
        <v>743</v>
      </c>
      <c r="E125" s="8">
        <v>2461</v>
      </c>
      <c r="F125" s="1" t="s">
        <v>2</v>
      </c>
      <c r="G125" s="1" t="s">
        <v>4</v>
      </c>
    </row>
    <row r="126" spans="2:7" ht="14.25" customHeight="1" x14ac:dyDescent="0.3">
      <c r="B126" s="1" t="s">
        <v>15</v>
      </c>
      <c r="C126" s="1">
        <v>2014</v>
      </c>
      <c r="D126" s="5">
        <v>798</v>
      </c>
      <c r="E126" s="8">
        <v>2347</v>
      </c>
      <c r="F126" s="1" t="s">
        <v>2</v>
      </c>
      <c r="G126" s="1" t="s">
        <v>5</v>
      </c>
    </row>
    <row r="127" spans="2:7" ht="14.25" customHeight="1" x14ac:dyDescent="0.3">
      <c r="B127" s="1" t="s">
        <v>15</v>
      </c>
      <c r="C127" s="1">
        <v>2012</v>
      </c>
      <c r="D127" s="5">
        <v>798</v>
      </c>
      <c r="E127" s="8">
        <v>2874</v>
      </c>
      <c r="F127" s="1" t="s">
        <v>2</v>
      </c>
      <c r="G127" s="1" t="s">
        <v>5</v>
      </c>
    </row>
    <row r="128" spans="2:7" ht="14.25" customHeight="1" x14ac:dyDescent="0.3">
      <c r="B128" s="1" t="s">
        <v>15</v>
      </c>
      <c r="C128" s="1">
        <v>2015</v>
      </c>
      <c r="D128" s="5">
        <v>743</v>
      </c>
      <c r="E128" s="8">
        <v>2461</v>
      </c>
      <c r="F128" s="1" t="s">
        <v>2</v>
      </c>
      <c r="G128" s="1" t="s">
        <v>4</v>
      </c>
    </row>
    <row r="129" spans="2:7" ht="14.25" customHeight="1" x14ac:dyDescent="0.3">
      <c r="B129" s="1" t="s">
        <v>15</v>
      </c>
      <c r="C129" s="1">
        <v>2017</v>
      </c>
      <c r="D129" s="5">
        <v>743</v>
      </c>
      <c r="E129" s="8">
        <v>2461</v>
      </c>
      <c r="F129" s="1" t="s">
        <v>2</v>
      </c>
      <c r="G129" s="1" t="s">
        <v>4</v>
      </c>
    </row>
    <row r="130" spans="2:7" ht="14.25" customHeight="1" x14ac:dyDescent="0.3">
      <c r="B130" s="1" t="s">
        <v>15</v>
      </c>
      <c r="C130" s="1">
        <v>2018</v>
      </c>
      <c r="D130" s="5">
        <v>743</v>
      </c>
      <c r="E130" s="8">
        <v>2461</v>
      </c>
      <c r="F130" s="1" t="s">
        <v>2</v>
      </c>
      <c r="G130" s="1" t="s">
        <v>4</v>
      </c>
    </row>
    <row r="131" spans="2:7" ht="14.25" customHeight="1" x14ac:dyDescent="0.3">
      <c r="B131" s="1" t="s">
        <v>0</v>
      </c>
      <c r="C131" s="1">
        <v>2015</v>
      </c>
      <c r="D131" s="5">
        <v>743</v>
      </c>
      <c r="E131" s="8">
        <v>2461</v>
      </c>
      <c r="F131" s="1" t="s">
        <v>2</v>
      </c>
      <c r="G131" s="1" t="s">
        <v>4</v>
      </c>
    </row>
    <row r="132" spans="2:7" ht="14.25" customHeight="1" x14ac:dyDescent="0.3">
      <c r="B132" s="1" t="s">
        <v>0</v>
      </c>
      <c r="C132" s="1">
        <v>2018</v>
      </c>
      <c r="D132" s="5">
        <v>743</v>
      </c>
      <c r="E132" s="8">
        <v>2461</v>
      </c>
      <c r="F132" s="1" t="s">
        <v>2</v>
      </c>
      <c r="G132" s="1" t="s">
        <v>4</v>
      </c>
    </row>
    <row r="133" spans="2:7" ht="14.25" customHeight="1" x14ac:dyDescent="0.3">
      <c r="B133" s="1" t="s">
        <v>0</v>
      </c>
      <c r="C133" s="1">
        <v>2012</v>
      </c>
      <c r="D133" s="5">
        <v>723</v>
      </c>
      <c r="E133" s="8">
        <v>2143</v>
      </c>
      <c r="F133" s="1" t="s">
        <v>2</v>
      </c>
      <c r="G133" s="1" t="s">
        <v>8</v>
      </c>
    </row>
    <row r="134" spans="2:7" ht="14.25" customHeight="1" x14ac:dyDescent="0.3">
      <c r="B134" s="1" t="s">
        <v>0</v>
      </c>
      <c r="C134" s="1">
        <v>2020</v>
      </c>
      <c r="D134" s="5">
        <v>1093</v>
      </c>
      <c r="E134" s="8">
        <v>3904</v>
      </c>
      <c r="F134" s="1" t="s">
        <v>2</v>
      </c>
      <c r="G134" s="1" t="s">
        <v>5</v>
      </c>
    </row>
    <row r="135" spans="2:7" ht="14.25" customHeight="1" x14ac:dyDescent="0.3">
      <c r="B135" s="1" t="s">
        <v>0</v>
      </c>
      <c r="C135" s="1">
        <v>2016</v>
      </c>
      <c r="D135" s="5">
        <v>927</v>
      </c>
      <c r="E135" s="8">
        <v>2938</v>
      </c>
      <c r="F135" s="1" t="s">
        <v>2</v>
      </c>
      <c r="G135" s="1" t="s">
        <v>6</v>
      </c>
    </row>
    <row r="136" spans="2:7" ht="14.25" customHeight="1" x14ac:dyDescent="0.3">
      <c r="B136" s="1" t="s">
        <v>0</v>
      </c>
      <c r="C136" s="1">
        <v>2018</v>
      </c>
      <c r="D136" s="5">
        <v>701</v>
      </c>
      <c r="E136" s="8">
        <v>2042</v>
      </c>
      <c r="F136" s="1" t="s">
        <v>2</v>
      </c>
      <c r="G136" s="1" t="s">
        <v>11</v>
      </c>
    </row>
    <row r="137" spans="2:7" ht="14.25" customHeight="1" x14ac:dyDescent="0.3">
      <c r="B137" s="1" t="s">
        <v>0</v>
      </c>
      <c r="C137" s="1">
        <v>2013</v>
      </c>
      <c r="D137" s="5">
        <v>680</v>
      </c>
      <c r="E137" s="8">
        <v>2301</v>
      </c>
      <c r="F137" s="1" t="s">
        <v>2</v>
      </c>
      <c r="G137" s="1" t="s">
        <v>9</v>
      </c>
    </row>
    <row r="138" spans="2:7" ht="14.25" customHeight="1" x14ac:dyDescent="0.3">
      <c r="B138" s="1" t="s">
        <v>0</v>
      </c>
      <c r="C138" s="1">
        <v>2015</v>
      </c>
      <c r="D138" s="5">
        <v>743</v>
      </c>
      <c r="E138" s="8">
        <v>2461</v>
      </c>
      <c r="F138" s="1" t="s">
        <v>2</v>
      </c>
      <c r="G138" s="1" t="s">
        <v>4</v>
      </c>
    </row>
    <row r="139" spans="2:7" ht="14.25" customHeight="1" x14ac:dyDescent="0.3">
      <c r="B139" s="1" t="s">
        <v>0</v>
      </c>
      <c r="C139" s="1">
        <v>2019</v>
      </c>
      <c r="D139" s="5">
        <v>743</v>
      </c>
      <c r="E139" s="8">
        <v>2461</v>
      </c>
      <c r="F139" s="1" t="s">
        <v>2</v>
      </c>
      <c r="G139" s="1" t="s">
        <v>4</v>
      </c>
    </row>
    <row r="140" spans="2:7" ht="14.25" customHeight="1" x14ac:dyDescent="0.3">
      <c r="B140" s="1" t="s">
        <v>0</v>
      </c>
      <c r="C140" s="1">
        <v>2016</v>
      </c>
      <c r="D140" s="5">
        <v>782</v>
      </c>
      <c r="E140" s="8">
        <v>2089</v>
      </c>
      <c r="F140" s="1" t="s">
        <v>2</v>
      </c>
      <c r="G140" s="1" t="s">
        <v>7</v>
      </c>
    </row>
    <row r="141" spans="2:7" ht="14.25" customHeight="1" x14ac:dyDescent="0.3">
      <c r="B141" s="1" t="s">
        <v>0</v>
      </c>
      <c r="C141" s="1">
        <v>2019</v>
      </c>
      <c r="D141" s="5">
        <v>743</v>
      </c>
      <c r="E141" s="8">
        <v>2461</v>
      </c>
      <c r="F141" s="1" t="s">
        <v>2</v>
      </c>
      <c r="G141" s="1" t="s">
        <v>4</v>
      </c>
    </row>
    <row r="142" spans="2:7" ht="14.25" customHeight="1" x14ac:dyDescent="0.3">
      <c r="B142" s="1" t="s">
        <v>0</v>
      </c>
      <c r="C142" s="1">
        <v>2018</v>
      </c>
      <c r="D142" s="5">
        <v>743</v>
      </c>
      <c r="E142" s="8">
        <v>2461</v>
      </c>
      <c r="F142" s="1" t="s">
        <v>2</v>
      </c>
      <c r="G142" s="1" t="s">
        <v>4</v>
      </c>
    </row>
    <row r="143" spans="2:7" ht="14.25" customHeight="1" x14ac:dyDescent="0.3">
      <c r="B143" s="1" t="s">
        <v>0</v>
      </c>
      <c r="C143" s="1">
        <v>2016</v>
      </c>
      <c r="D143" s="5">
        <v>723</v>
      </c>
      <c r="E143" s="8">
        <v>2295</v>
      </c>
      <c r="F143" s="1" t="s">
        <v>2</v>
      </c>
      <c r="G143" s="1" t="s">
        <v>10</v>
      </c>
    </row>
    <row r="144" spans="2:7" ht="14.25" customHeight="1" x14ac:dyDescent="0.3">
      <c r="B144" s="1" t="s">
        <v>0</v>
      </c>
      <c r="C144" s="1">
        <v>2019</v>
      </c>
      <c r="D144" s="5">
        <v>798</v>
      </c>
      <c r="E144" s="8">
        <v>2520</v>
      </c>
      <c r="F144" s="1" t="s">
        <v>2</v>
      </c>
      <c r="G144" s="1" t="s">
        <v>6</v>
      </c>
    </row>
    <row r="145" spans="2:7" ht="14.25" customHeight="1" x14ac:dyDescent="0.3">
      <c r="B145" s="1" t="s">
        <v>0</v>
      </c>
      <c r="C145" s="1">
        <v>2018</v>
      </c>
      <c r="D145" s="5">
        <v>743</v>
      </c>
      <c r="E145" s="8">
        <v>2461</v>
      </c>
      <c r="F145" s="1" t="s">
        <v>2</v>
      </c>
      <c r="G145" s="1" t="s">
        <v>4</v>
      </c>
    </row>
    <row r="146" spans="2:7" ht="14.25" customHeight="1" x14ac:dyDescent="0.3">
      <c r="B146" s="1" t="s">
        <v>0</v>
      </c>
      <c r="C146" s="1">
        <v>2017</v>
      </c>
      <c r="D146" s="5">
        <v>743</v>
      </c>
      <c r="E146" s="8">
        <v>2461</v>
      </c>
      <c r="F146" s="1" t="s">
        <v>2</v>
      </c>
      <c r="G146" s="1" t="s">
        <v>4</v>
      </c>
    </row>
    <row r="147" spans="2:7" ht="14.25" customHeight="1" x14ac:dyDescent="0.3">
      <c r="B147" s="1" t="s">
        <v>0</v>
      </c>
      <c r="C147" s="1">
        <v>2012</v>
      </c>
      <c r="D147" s="5">
        <v>743</v>
      </c>
      <c r="E147" s="8">
        <v>2461</v>
      </c>
      <c r="F147" s="1" t="s">
        <v>2</v>
      </c>
      <c r="G147" s="1" t="s">
        <v>4</v>
      </c>
    </row>
    <row r="148" spans="2:7" ht="14.25" customHeight="1" x14ac:dyDescent="0.3">
      <c r="B148" s="1" t="s">
        <v>0</v>
      </c>
      <c r="C148" s="1">
        <v>2013</v>
      </c>
      <c r="D148" s="5">
        <v>743</v>
      </c>
      <c r="E148" s="8">
        <v>2461</v>
      </c>
      <c r="F148" s="1" t="s">
        <v>2</v>
      </c>
      <c r="G148" s="1" t="s">
        <v>4</v>
      </c>
    </row>
    <row r="149" spans="2:7" ht="14.25" customHeight="1" x14ac:dyDescent="0.3">
      <c r="B149" s="1" t="s">
        <v>0</v>
      </c>
      <c r="C149" s="1">
        <v>2012</v>
      </c>
      <c r="D149" s="5">
        <v>743</v>
      </c>
      <c r="E149" s="8">
        <v>2461</v>
      </c>
      <c r="F149" s="1" t="s">
        <v>2</v>
      </c>
      <c r="G149" s="1" t="s">
        <v>4</v>
      </c>
    </row>
    <row r="150" spans="2:7" ht="14.25" customHeight="1" x14ac:dyDescent="0.3">
      <c r="B150" s="1" t="s">
        <v>0</v>
      </c>
      <c r="C150" s="1">
        <v>2019</v>
      </c>
      <c r="D150" s="5">
        <v>743</v>
      </c>
      <c r="E150" s="8">
        <v>2461</v>
      </c>
      <c r="F150" s="1" t="s">
        <v>2</v>
      </c>
      <c r="G150" s="1" t="s">
        <v>4</v>
      </c>
    </row>
    <row r="151" spans="2:7" ht="14.25" customHeight="1" x14ac:dyDescent="0.3">
      <c r="B151" s="1" t="s">
        <v>0</v>
      </c>
      <c r="C151" s="1">
        <v>2012</v>
      </c>
      <c r="D151" s="5">
        <v>1434</v>
      </c>
      <c r="E151" s="8">
        <v>4128</v>
      </c>
      <c r="F151" s="1" t="s">
        <v>2</v>
      </c>
      <c r="G151" s="1" t="s">
        <v>5</v>
      </c>
    </row>
    <row r="152" spans="2:7" ht="14.25" customHeight="1" x14ac:dyDescent="0.3">
      <c r="B152" s="1" t="s">
        <v>0</v>
      </c>
      <c r="C152" s="1">
        <v>2013</v>
      </c>
      <c r="D152" s="5">
        <v>743</v>
      </c>
      <c r="E152" s="8">
        <v>2461</v>
      </c>
      <c r="F152" s="1" t="s">
        <v>2</v>
      </c>
      <c r="G152" s="1" t="s">
        <v>4</v>
      </c>
    </row>
    <row r="153" spans="2:7" ht="14.25" customHeight="1" x14ac:dyDescent="0.3">
      <c r="B153" s="1" t="s">
        <v>0</v>
      </c>
      <c r="C153" s="1">
        <v>2013</v>
      </c>
      <c r="D153" s="5">
        <v>781</v>
      </c>
      <c r="E153" s="8">
        <v>2580</v>
      </c>
      <c r="F153" s="1" t="s">
        <v>2</v>
      </c>
      <c r="G153" s="1" t="s">
        <v>9</v>
      </c>
    </row>
    <row r="154" spans="2:7" ht="14.25" customHeight="1" x14ac:dyDescent="0.3">
      <c r="B154" s="1" t="s">
        <v>0</v>
      </c>
      <c r="C154" s="1">
        <v>2014</v>
      </c>
      <c r="D154" s="5">
        <v>618</v>
      </c>
      <c r="E154" s="8">
        <v>1534</v>
      </c>
      <c r="F154" s="1" t="s">
        <v>2</v>
      </c>
      <c r="G154" s="1" t="s">
        <v>8</v>
      </c>
    </row>
    <row r="155" spans="2:7" ht="14.25" customHeight="1" x14ac:dyDescent="0.3">
      <c r="B155" s="1" t="s">
        <v>0</v>
      </c>
      <c r="C155" s="1">
        <v>2017</v>
      </c>
      <c r="D155" s="5">
        <v>743</v>
      </c>
      <c r="E155" s="8">
        <v>2461</v>
      </c>
      <c r="F155" s="1" t="s">
        <v>2</v>
      </c>
      <c r="G155" s="1" t="s">
        <v>4</v>
      </c>
    </row>
    <row r="156" spans="2:7" ht="14.25" customHeight="1" x14ac:dyDescent="0.3">
      <c r="B156" s="1" t="s">
        <v>0</v>
      </c>
      <c r="C156" s="1">
        <v>2020</v>
      </c>
      <c r="D156" s="5">
        <v>743</v>
      </c>
      <c r="E156" s="8">
        <v>2461</v>
      </c>
      <c r="F156" s="1" t="s">
        <v>2</v>
      </c>
      <c r="G156" s="1" t="s">
        <v>4</v>
      </c>
    </row>
    <row r="157" spans="2:7" ht="14.25" customHeight="1" x14ac:dyDescent="0.3">
      <c r="B157" s="1" t="s">
        <v>0</v>
      </c>
      <c r="C157" s="1">
        <v>2016</v>
      </c>
      <c r="D157" s="5">
        <v>781</v>
      </c>
      <c r="E157" s="8">
        <v>2108</v>
      </c>
      <c r="F157" s="1" t="s">
        <v>2</v>
      </c>
      <c r="G157" s="1" t="s">
        <v>9</v>
      </c>
    </row>
    <row r="158" spans="2:7" ht="14.25" customHeight="1" x14ac:dyDescent="0.3">
      <c r="B158" s="1" t="s">
        <v>0</v>
      </c>
      <c r="C158" s="1">
        <v>2019</v>
      </c>
      <c r="D158" s="5">
        <v>781</v>
      </c>
      <c r="E158" s="8">
        <v>2490</v>
      </c>
      <c r="F158" s="1" t="s">
        <v>2</v>
      </c>
      <c r="G158" s="1" t="s">
        <v>9</v>
      </c>
    </row>
    <row r="159" spans="2:7" ht="14.25" customHeight="1" x14ac:dyDescent="0.3">
      <c r="B159" s="1" t="s">
        <v>0</v>
      </c>
      <c r="C159" s="1">
        <v>2014</v>
      </c>
      <c r="D159" s="5">
        <v>697</v>
      </c>
      <c r="E159" s="8">
        <v>2198</v>
      </c>
      <c r="F159" s="1" t="s">
        <v>2</v>
      </c>
      <c r="G159" s="1" t="s">
        <v>9</v>
      </c>
    </row>
    <row r="160" spans="2:7" ht="14.25" customHeight="1" x14ac:dyDescent="0.3">
      <c r="B160" s="1" t="s">
        <v>0</v>
      </c>
      <c r="C160" s="1">
        <v>2017</v>
      </c>
      <c r="D160" s="5">
        <v>670</v>
      </c>
      <c r="E160" s="8">
        <v>2042</v>
      </c>
      <c r="F160" s="1" t="s">
        <v>2</v>
      </c>
      <c r="G160" s="1" t="s">
        <v>9</v>
      </c>
    </row>
    <row r="161" spans="2:7" ht="14.25" customHeight="1" x14ac:dyDescent="0.3">
      <c r="B161" s="1" t="s">
        <v>0</v>
      </c>
      <c r="C161" s="1">
        <v>2015</v>
      </c>
      <c r="D161" s="5">
        <v>743</v>
      </c>
      <c r="E161" s="8">
        <v>2461</v>
      </c>
      <c r="F161" s="1" t="s">
        <v>2</v>
      </c>
      <c r="G161" s="1" t="s">
        <v>4</v>
      </c>
    </row>
    <row r="162" spans="2:7" ht="14.25" customHeight="1" x14ac:dyDescent="0.3">
      <c r="B162" s="1" t="s">
        <v>0</v>
      </c>
      <c r="C162" s="1">
        <v>2013</v>
      </c>
      <c r="D162" s="5">
        <v>743</v>
      </c>
      <c r="E162" s="8">
        <v>2461</v>
      </c>
      <c r="F162" s="1" t="s">
        <v>2</v>
      </c>
      <c r="G162" s="1" t="s">
        <v>4</v>
      </c>
    </row>
    <row r="163" spans="2:7" ht="14.25" customHeight="1" x14ac:dyDescent="0.3">
      <c r="B163" s="1" t="s">
        <v>0</v>
      </c>
      <c r="C163" s="1">
        <v>2019</v>
      </c>
      <c r="D163" s="5">
        <v>923</v>
      </c>
      <c r="E163" s="8">
        <v>2964</v>
      </c>
      <c r="F163" s="1" t="s">
        <v>2</v>
      </c>
      <c r="G163" s="1" t="s">
        <v>6</v>
      </c>
    </row>
    <row r="164" spans="2:7" ht="14.25" customHeight="1" x14ac:dyDescent="0.3">
      <c r="B164" s="1" t="s">
        <v>0</v>
      </c>
      <c r="C164" s="1">
        <v>2019</v>
      </c>
      <c r="D164" s="5">
        <v>743</v>
      </c>
      <c r="E164" s="8">
        <v>2461</v>
      </c>
      <c r="F164" s="1" t="s">
        <v>2</v>
      </c>
      <c r="G164" s="1" t="s">
        <v>4</v>
      </c>
    </row>
    <row r="165" spans="2:7" ht="14.25" customHeight="1" x14ac:dyDescent="0.3">
      <c r="B165" s="1" t="s">
        <v>0</v>
      </c>
      <c r="C165" s="1">
        <v>2012</v>
      </c>
      <c r="D165" s="5">
        <v>743</v>
      </c>
      <c r="E165" s="8">
        <v>2461</v>
      </c>
      <c r="F165" s="1" t="s">
        <v>2</v>
      </c>
      <c r="G165" s="1" t="s">
        <v>4</v>
      </c>
    </row>
    <row r="166" spans="2:7" ht="14.25" customHeight="1" x14ac:dyDescent="0.3">
      <c r="B166" s="1" t="s">
        <v>0</v>
      </c>
      <c r="C166" s="1">
        <v>2015</v>
      </c>
      <c r="D166" s="5">
        <v>743</v>
      </c>
      <c r="E166" s="8">
        <v>2461</v>
      </c>
      <c r="F166" s="1" t="s">
        <v>2</v>
      </c>
      <c r="G166" s="1" t="s">
        <v>4</v>
      </c>
    </row>
    <row r="167" spans="2:7" ht="14.25" customHeight="1" x14ac:dyDescent="0.3">
      <c r="B167" s="1" t="s">
        <v>0</v>
      </c>
      <c r="C167" s="1">
        <v>2014</v>
      </c>
      <c r="D167" s="5">
        <v>743</v>
      </c>
      <c r="E167" s="8">
        <v>2461</v>
      </c>
      <c r="F167" s="1" t="s">
        <v>2</v>
      </c>
      <c r="G167" s="1" t="s">
        <v>4</v>
      </c>
    </row>
    <row r="168" spans="2:7" ht="14.25" customHeight="1" x14ac:dyDescent="0.3">
      <c r="B168" s="1" t="s">
        <v>0</v>
      </c>
      <c r="C168" s="1">
        <v>2016</v>
      </c>
      <c r="D168" s="5">
        <v>743</v>
      </c>
      <c r="E168" s="8">
        <v>2461</v>
      </c>
      <c r="F168" s="1" t="s">
        <v>2</v>
      </c>
      <c r="G168" s="1" t="s">
        <v>4</v>
      </c>
    </row>
    <row r="169" spans="2:7" ht="14.25" customHeight="1" x14ac:dyDescent="0.3">
      <c r="B169" s="1" t="s">
        <v>0</v>
      </c>
      <c r="C169" s="1">
        <v>2015</v>
      </c>
      <c r="D169" s="5">
        <v>743</v>
      </c>
      <c r="E169" s="8">
        <v>2461</v>
      </c>
      <c r="F169" s="1" t="s">
        <v>2</v>
      </c>
      <c r="G169" s="1" t="s">
        <v>4</v>
      </c>
    </row>
    <row r="170" spans="2:7" ht="14.25" customHeight="1" x14ac:dyDescent="0.3">
      <c r="B170" s="1" t="s">
        <v>0</v>
      </c>
      <c r="C170" s="1">
        <v>2015</v>
      </c>
      <c r="D170" s="5">
        <v>743</v>
      </c>
      <c r="E170" s="8">
        <v>2461</v>
      </c>
      <c r="F170" s="1" t="s">
        <v>2</v>
      </c>
      <c r="G170" s="1" t="s">
        <v>4</v>
      </c>
    </row>
    <row r="171" spans="2:7" ht="14.25" customHeight="1" x14ac:dyDescent="0.3">
      <c r="B171" s="1" t="s">
        <v>0</v>
      </c>
      <c r="C171" s="1">
        <v>2015</v>
      </c>
      <c r="D171" s="5">
        <v>743</v>
      </c>
      <c r="E171" s="8">
        <v>2461</v>
      </c>
      <c r="F171" s="1" t="s">
        <v>2</v>
      </c>
      <c r="G171" s="1" t="s">
        <v>4</v>
      </c>
    </row>
    <row r="172" spans="2:7" ht="14.25" customHeight="1" x14ac:dyDescent="0.3">
      <c r="B172" s="1" t="s">
        <v>0</v>
      </c>
      <c r="C172" s="1">
        <v>2015</v>
      </c>
      <c r="D172" s="5">
        <v>743</v>
      </c>
      <c r="E172" s="8">
        <v>2461</v>
      </c>
      <c r="F172" s="1" t="s">
        <v>2</v>
      </c>
      <c r="G172" s="1" t="s">
        <v>4</v>
      </c>
    </row>
    <row r="173" spans="2:7" ht="14.25" customHeight="1" x14ac:dyDescent="0.3">
      <c r="B173" s="1" t="s">
        <v>0</v>
      </c>
      <c r="C173" s="1">
        <v>2013</v>
      </c>
      <c r="D173" s="5">
        <v>743</v>
      </c>
      <c r="E173" s="8">
        <v>2461</v>
      </c>
      <c r="F173" s="1" t="s">
        <v>2</v>
      </c>
      <c r="G173" s="1" t="s">
        <v>4</v>
      </c>
    </row>
    <row r="174" spans="2:7" ht="14.25" customHeight="1" x14ac:dyDescent="0.3">
      <c r="B174" s="1" t="s">
        <v>0</v>
      </c>
      <c r="C174" s="1">
        <v>2012</v>
      </c>
      <c r="D174" s="5">
        <v>743</v>
      </c>
      <c r="E174" s="8">
        <v>2461</v>
      </c>
      <c r="F174" s="1" t="s">
        <v>2</v>
      </c>
      <c r="G174" s="1" t="s">
        <v>4</v>
      </c>
    </row>
    <row r="179" spans="5:5" ht="15" customHeight="1" x14ac:dyDescent="0.3">
      <c r="E179" s="11"/>
    </row>
  </sheetData>
  <autoFilter ref="B5:G174" xr:uid="{8023A36A-B158-4EF3-BCA6-C7C80806FCE0}"/>
  <mergeCells count="2">
    <mergeCell ref="B4:E4"/>
    <mergeCell ref="F4:G4"/>
  </mergeCells>
  <conditionalFormatting sqref="B73">
    <cfRule type="notContainsBlanks" dxfId="0" priority="1">
      <formula>LEN(TRIM(B73))&gt;0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5DA6-1EC3-403D-8B29-95B3BF0955CC}">
  <dimension ref="B1:G103"/>
  <sheetViews>
    <sheetView showGridLines="0" zoomScale="102" zoomScaleNormal="102" workbookViewId="0">
      <pane ySplit="5" topLeftCell="A6" activePane="bottomLeft" state="frozen"/>
      <selection pane="bottomLeft" activeCell="B17" sqref="B17"/>
    </sheetView>
  </sheetViews>
  <sheetFormatPr defaultColWidth="15.109375" defaultRowHeight="15" customHeight="1" x14ac:dyDescent="0.3"/>
  <cols>
    <col min="1" max="1" width="2" style="2" customWidth="1"/>
    <col min="2" max="2" width="13.88671875" style="2" bestFit="1" customWidth="1"/>
    <col min="3" max="3" width="13.88671875" style="2" customWidth="1"/>
    <col min="4" max="4" width="15.44140625" style="2" customWidth="1"/>
    <col min="5" max="5" width="12.77734375" style="2" customWidth="1"/>
    <col min="6" max="6" width="7.44140625" style="4" bestFit="1" customWidth="1"/>
    <col min="7" max="7" width="8" style="4" bestFit="1" customWidth="1"/>
    <col min="8" max="16384" width="15.109375" style="2"/>
  </cols>
  <sheetData>
    <row r="1" spans="2:7" ht="15.6" x14ac:dyDescent="0.3">
      <c r="B1" s="10" t="s">
        <v>19</v>
      </c>
      <c r="G1" s="3"/>
    </row>
    <row r="2" spans="2:7" ht="11.4" x14ac:dyDescent="0.3">
      <c r="G2" s="3"/>
    </row>
    <row r="3" spans="2:7" ht="11.4" x14ac:dyDescent="0.3">
      <c r="G3" s="3"/>
    </row>
    <row r="4" spans="2:7" ht="15" customHeight="1" x14ac:dyDescent="0.3">
      <c r="B4" s="13"/>
      <c r="C4" s="13"/>
      <c r="D4" s="13"/>
      <c r="E4" s="13"/>
      <c r="F4" s="13"/>
      <c r="G4" s="13"/>
    </row>
    <row r="5" spans="2:7" ht="13.8" customHeight="1" thickBot="1" x14ac:dyDescent="0.35">
      <c r="B5" s="7" t="s">
        <v>14</v>
      </c>
      <c r="C5" s="7" t="s">
        <v>16</v>
      </c>
      <c r="D5" s="7" t="s">
        <v>1</v>
      </c>
      <c r="E5" s="7" t="s">
        <v>18</v>
      </c>
      <c r="F5" s="7" t="s">
        <v>13</v>
      </c>
      <c r="G5" s="7" t="s">
        <v>3</v>
      </c>
    </row>
    <row r="6" spans="2:7" ht="15" customHeight="1" x14ac:dyDescent="0.3">
      <c r="B6" s="1" t="s">
        <v>0</v>
      </c>
      <c r="C6" s="1">
        <v>2020</v>
      </c>
      <c r="D6" s="5">
        <v>723</v>
      </c>
      <c r="E6" s="8">
        <v>1961</v>
      </c>
      <c r="F6" s="1" t="s">
        <v>2</v>
      </c>
      <c r="G6" s="1" t="s">
        <v>10</v>
      </c>
    </row>
    <row r="7" spans="2:7" ht="15" customHeight="1" x14ac:dyDescent="0.3">
      <c r="B7" s="1" t="s">
        <v>0</v>
      </c>
      <c r="C7" s="1">
        <v>2015</v>
      </c>
      <c r="D7" s="5">
        <v>618</v>
      </c>
      <c r="E7" s="8">
        <v>1887</v>
      </c>
      <c r="F7" s="1" t="s">
        <v>2</v>
      </c>
      <c r="G7" s="1" t="s">
        <v>10</v>
      </c>
    </row>
    <row r="8" spans="2:7" ht="15" customHeight="1" x14ac:dyDescent="0.3">
      <c r="B8" s="1" t="s">
        <v>0</v>
      </c>
      <c r="C8" s="1">
        <v>2016</v>
      </c>
      <c r="D8" s="5">
        <v>923</v>
      </c>
      <c r="E8" s="8">
        <v>3122</v>
      </c>
      <c r="F8" s="1" t="s">
        <v>2</v>
      </c>
      <c r="G8" s="1" t="s">
        <v>10</v>
      </c>
    </row>
    <row r="9" spans="2:7" ht="15" customHeight="1" x14ac:dyDescent="0.3">
      <c r="B9" s="1" t="s">
        <v>0</v>
      </c>
      <c r="C9" s="1">
        <v>2013</v>
      </c>
      <c r="D9" s="5">
        <v>733</v>
      </c>
      <c r="E9" s="8">
        <v>1970</v>
      </c>
      <c r="F9" s="1" t="s">
        <v>2</v>
      </c>
      <c r="G9" s="1" t="s">
        <v>10</v>
      </c>
    </row>
    <row r="10" spans="2:7" ht="15" customHeight="1" x14ac:dyDescent="0.3">
      <c r="B10" s="1" t="s">
        <v>0</v>
      </c>
      <c r="C10" s="1">
        <v>2020</v>
      </c>
      <c r="D10" s="5">
        <v>747</v>
      </c>
      <c r="E10" s="8">
        <v>2370</v>
      </c>
      <c r="F10" s="1" t="s">
        <v>2</v>
      </c>
      <c r="G10" s="1" t="s">
        <v>10</v>
      </c>
    </row>
    <row r="11" spans="2:7" ht="15" customHeight="1" x14ac:dyDescent="0.3">
      <c r="B11" s="1" t="s">
        <v>0</v>
      </c>
      <c r="C11" s="1">
        <v>2014</v>
      </c>
      <c r="D11" s="5">
        <v>747</v>
      </c>
      <c r="E11" s="8">
        <v>1961</v>
      </c>
      <c r="F11" s="1" t="s">
        <v>2</v>
      </c>
      <c r="G11" s="1" t="s">
        <v>10</v>
      </c>
    </row>
    <row r="12" spans="2:7" ht="15" customHeight="1" x14ac:dyDescent="0.3">
      <c r="B12" s="1" t="s">
        <v>0</v>
      </c>
      <c r="C12" s="1">
        <v>2014</v>
      </c>
      <c r="D12" s="5">
        <v>1109</v>
      </c>
      <c r="E12" s="8">
        <v>3445</v>
      </c>
      <c r="F12" s="1" t="s">
        <v>2</v>
      </c>
      <c r="G12" s="1" t="s">
        <v>10</v>
      </c>
    </row>
    <row r="13" spans="2:7" ht="15" customHeight="1" x14ac:dyDescent="0.3">
      <c r="B13" s="1" t="s">
        <v>0</v>
      </c>
      <c r="C13" s="1">
        <v>2015</v>
      </c>
      <c r="D13" s="5">
        <v>701</v>
      </c>
      <c r="E13" s="8">
        <v>2122</v>
      </c>
      <c r="F13" s="1" t="s">
        <v>2</v>
      </c>
      <c r="G13" s="1" t="s">
        <v>10</v>
      </c>
    </row>
    <row r="14" spans="2:7" ht="15" customHeight="1" x14ac:dyDescent="0.3">
      <c r="B14" s="1" t="s">
        <v>0</v>
      </c>
      <c r="C14" s="1">
        <v>2016</v>
      </c>
      <c r="D14" s="5">
        <v>723</v>
      </c>
      <c r="E14" s="8">
        <v>2295</v>
      </c>
      <c r="F14" s="1" t="s">
        <v>2</v>
      </c>
      <c r="G14" s="1" t="s">
        <v>10</v>
      </c>
    </row>
    <row r="15" spans="2:7" ht="15" customHeight="1" x14ac:dyDescent="0.3">
      <c r="B15" s="1"/>
      <c r="C15" s="1"/>
      <c r="D15" s="5"/>
      <c r="E15" s="8"/>
      <c r="F15" s="1"/>
      <c r="G15" s="1"/>
    </row>
    <row r="16" spans="2:7" ht="15" customHeight="1" x14ac:dyDescent="0.3">
      <c r="B16" s="1" t="s">
        <v>18</v>
      </c>
      <c r="C16" s="1"/>
      <c r="D16" s="5"/>
      <c r="E16" s="8"/>
      <c r="F16" s="1"/>
      <c r="G16" s="1"/>
    </row>
    <row r="17" spans="2:7" ht="15" customHeight="1" x14ac:dyDescent="0.3">
      <c r="B17" s="1" t="s">
        <v>22</v>
      </c>
      <c r="C17" s="14">
        <f>AVERAGE(E6:E14)</f>
        <v>2348.1111111111113</v>
      </c>
      <c r="D17" s="5"/>
      <c r="F17" s="1"/>
      <c r="G17" s="1"/>
    </row>
    <row r="18" spans="2:7" ht="15" customHeight="1" x14ac:dyDescent="0.3">
      <c r="B18" s="1" t="s">
        <v>24</v>
      </c>
      <c r="C18" s="14">
        <f>MEDIAN(E6:E14)</f>
        <v>2122</v>
      </c>
      <c r="D18" s="5"/>
      <c r="E18" s="8"/>
      <c r="F18" s="1"/>
      <c r="G18" s="1"/>
    </row>
    <row r="19" spans="2:7" ht="15" customHeight="1" x14ac:dyDescent="0.3">
      <c r="B19" s="1" t="s">
        <v>23</v>
      </c>
      <c r="C19" s="14">
        <f>_xlfn.MODE.SNGL(E6:E14)</f>
        <v>1961</v>
      </c>
      <c r="D19" s="5"/>
      <c r="E19" s="8"/>
      <c r="F19" s="1"/>
      <c r="G19" s="1"/>
    </row>
    <row r="20" spans="2:7" ht="15" customHeight="1" x14ac:dyDescent="0.3">
      <c r="B20" s="1"/>
      <c r="C20" s="1"/>
      <c r="D20" s="5"/>
      <c r="E20" s="8"/>
      <c r="F20" s="1"/>
      <c r="G20" s="1"/>
    </row>
    <row r="21" spans="2:7" ht="15" customHeight="1" x14ac:dyDescent="0.3">
      <c r="B21" s="8"/>
      <c r="C21" s="1"/>
      <c r="D21" s="5"/>
      <c r="E21" s="8"/>
      <c r="F21" s="1"/>
      <c r="G21" s="1"/>
    </row>
    <row r="22" spans="2:7" ht="15" customHeight="1" x14ac:dyDescent="0.3">
      <c r="B22" s="1"/>
      <c r="C22" s="1"/>
      <c r="D22" s="5"/>
      <c r="E22" s="8"/>
      <c r="F22" s="1"/>
      <c r="G22" s="1"/>
    </row>
    <row r="23" spans="2:7" ht="15" customHeight="1" x14ac:dyDescent="0.3">
      <c r="B23" s="1"/>
      <c r="C23" s="1"/>
      <c r="D23" s="5"/>
      <c r="E23" s="8"/>
      <c r="F23" s="1"/>
      <c r="G23" s="1"/>
    </row>
    <row r="24" spans="2:7" ht="15" customHeight="1" x14ac:dyDescent="0.3">
      <c r="B24" s="1"/>
      <c r="C24" s="1"/>
      <c r="D24" s="5"/>
      <c r="E24" s="8"/>
      <c r="F24" s="1"/>
      <c r="G24" s="1"/>
    </row>
    <row r="25" spans="2:7" ht="15" customHeight="1" x14ac:dyDescent="0.3">
      <c r="B25" s="1"/>
      <c r="C25" s="1"/>
      <c r="D25" s="5"/>
      <c r="E25" s="8"/>
      <c r="F25" s="1"/>
      <c r="G25" s="1"/>
    </row>
    <row r="26" spans="2:7" ht="15" customHeight="1" x14ac:dyDescent="0.3">
      <c r="B26" s="1"/>
      <c r="C26" s="1"/>
      <c r="D26" s="5"/>
      <c r="E26" s="8"/>
      <c r="F26" s="1"/>
      <c r="G26" s="1"/>
    </row>
    <row r="27" spans="2:7" ht="15" customHeight="1" x14ac:dyDescent="0.3">
      <c r="B27" s="1"/>
      <c r="C27" s="1"/>
      <c r="D27" s="5"/>
      <c r="E27" s="8"/>
      <c r="F27" s="1"/>
      <c r="G27" s="1"/>
    </row>
    <row r="28" spans="2:7" ht="15" customHeight="1" x14ac:dyDescent="0.3">
      <c r="B28" s="1"/>
      <c r="C28" s="1"/>
      <c r="D28" s="5"/>
      <c r="E28" s="8"/>
      <c r="F28" s="1"/>
      <c r="G28" s="1"/>
    </row>
    <row r="29" spans="2:7" ht="15" customHeight="1" x14ac:dyDescent="0.3">
      <c r="B29" s="1"/>
      <c r="C29" s="1"/>
      <c r="D29" s="5"/>
      <c r="E29" s="8"/>
      <c r="F29" s="1"/>
      <c r="G29" s="1"/>
    </row>
    <row r="30" spans="2:7" ht="15" customHeight="1" x14ac:dyDescent="0.3">
      <c r="B30" s="1"/>
      <c r="C30" s="1"/>
      <c r="D30" s="5"/>
      <c r="E30" s="8"/>
      <c r="F30" s="1"/>
      <c r="G30" s="1"/>
    </row>
    <row r="31" spans="2:7" ht="15" customHeight="1" x14ac:dyDescent="0.3">
      <c r="B31" s="1"/>
      <c r="C31" s="1"/>
      <c r="D31" s="5"/>
      <c r="E31" s="8"/>
      <c r="F31" s="1"/>
      <c r="G31" s="1"/>
    </row>
    <row r="32" spans="2:7" ht="15" customHeight="1" x14ac:dyDescent="0.3">
      <c r="B32" s="1"/>
      <c r="C32" s="1"/>
      <c r="D32" s="5"/>
      <c r="E32" s="8"/>
      <c r="F32" s="1"/>
      <c r="G32" s="1"/>
    </row>
    <row r="33" spans="2:7" ht="15" customHeight="1" x14ac:dyDescent="0.3">
      <c r="B33" s="1"/>
      <c r="C33" s="1"/>
      <c r="D33" s="5"/>
      <c r="E33" s="8"/>
      <c r="F33" s="1"/>
      <c r="G33" s="1"/>
    </row>
    <row r="34" spans="2:7" ht="15" customHeight="1" x14ac:dyDescent="0.3">
      <c r="B34" s="1"/>
      <c r="C34" s="1"/>
      <c r="D34" s="5"/>
      <c r="E34" s="8"/>
      <c r="F34" s="1"/>
      <c r="G34" s="1"/>
    </row>
    <row r="35" spans="2:7" ht="15" customHeight="1" x14ac:dyDescent="0.3">
      <c r="B35" s="1"/>
      <c r="C35" s="1"/>
      <c r="D35" s="5"/>
      <c r="E35" s="8"/>
      <c r="F35" s="1"/>
      <c r="G35" s="1"/>
    </row>
    <row r="36" spans="2:7" ht="15" customHeight="1" x14ac:dyDescent="0.3">
      <c r="B36" s="1"/>
      <c r="C36" s="1"/>
      <c r="D36" s="5"/>
      <c r="E36" s="8"/>
      <c r="F36" s="1"/>
      <c r="G36" s="1"/>
    </row>
    <row r="37" spans="2:7" ht="15" customHeight="1" x14ac:dyDescent="0.3">
      <c r="B37" s="1"/>
      <c r="C37" s="1"/>
      <c r="D37" s="5"/>
      <c r="E37" s="8"/>
      <c r="F37" s="1"/>
      <c r="G37" s="1"/>
    </row>
    <row r="38" spans="2:7" ht="15" customHeight="1" x14ac:dyDescent="0.3">
      <c r="B38" s="1"/>
      <c r="C38" s="1"/>
      <c r="D38" s="5"/>
      <c r="E38" s="8"/>
      <c r="F38" s="1"/>
      <c r="G38" s="1"/>
    </row>
    <row r="39" spans="2:7" ht="15" customHeight="1" x14ac:dyDescent="0.3">
      <c r="B39" s="1"/>
      <c r="C39" s="1"/>
      <c r="D39" s="5"/>
      <c r="E39" s="8"/>
      <c r="F39" s="1"/>
      <c r="G39" s="1"/>
    </row>
    <row r="40" spans="2:7" ht="15" customHeight="1" x14ac:dyDescent="0.3">
      <c r="B40" s="1"/>
      <c r="C40" s="1"/>
      <c r="D40" s="5"/>
      <c r="E40" s="8"/>
      <c r="F40" s="1"/>
      <c r="G40" s="1"/>
    </row>
    <row r="41" spans="2:7" ht="15" customHeight="1" x14ac:dyDescent="0.3">
      <c r="B41" s="1"/>
      <c r="C41" s="1"/>
      <c r="D41" s="5"/>
      <c r="E41" s="8"/>
      <c r="F41" s="1"/>
      <c r="G41" s="1"/>
    </row>
    <row r="42" spans="2:7" ht="15" customHeight="1" x14ac:dyDescent="0.3">
      <c r="B42" s="1"/>
      <c r="C42" s="1"/>
      <c r="D42" s="5"/>
      <c r="E42" s="8"/>
      <c r="F42" s="1"/>
      <c r="G42" s="1"/>
    </row>
    <row r="43" spans="2:7" ht="15" customHeight="1" x14ac:dyDescent="0.3">
      <c r="B43" s="1"/>
      <c r="C43" s="1"/>
      <c r="D43" s="5"/>
      <c r="E43" s="8"/>
      <c r="F43" s="1"/>
      <c r="G43" s="1"/>
    </row>
    <row r="44" spans="2:7" ht="15" customHeight="1" x14ac:dyDescent="0.3">
      <c r="B44" s="1"/>
      <c r="C44" s="1"/>
      <c r="D44" s="5"/>
      <c r="E44" s="8"/>
      <c r="F44" s="1"/>
      <c r="G44" s="1"/>
    </row>
    <row r="45" spans="2:7" ht="15" customHeight="1" x14ac:dyDescent="0.3">
      <c r="B45" s="1"/>
      <c r="C45" s="1"/>
      <c r="D45" s="5"/>
      <c r="E45" s="8"/>
      <c r="F45" s="1"/>
      <c r="G45" s="1"/>
    </row>
    <row r="46" spans="2:7" ht="15" customHeight="1" x14ac:dyDescent="0.3">
      <c r="B46" s="1"/>
      <c r="C46" s="1"/>
      <c r="D46" s="5"/>
      <c r="E46" s="8"/>
      <c r="F46" s="1"/>
      <c r="G46" s="1"/>
    </row>
    <row r="47" spans="2:7" ht="15" customHeight="1" x14ac:dyDescent="0.3">
      <c r="B47" s="1"/>
      <c r="C47" s="1"/>
      <c r="D47" s="5"/>
      <c r="E47" s="8"/>
      <c r="F47" s="1"/>
      <c r="G47" s="1"/>
    </row>
    <row r="48" spans="2:7" ht="15" customHeight="1" x14ac:dyDescent="0.3">
      <c r="B48" s="1"/>
      <c r="C48" s="1"/>
      <c r="D48" s="5"/>
      <c r="E48" s="8"/>
      <c r="F48" s="1"/>
      <c r="G48" s="1"/>
    </row>
    <row r="49" spans="2:7" ht="15" customHeight="1" x14ac:dyDescent="0.3">
      <c r="B49" s="1"/>
      <c r="C49" s="1"/>
      <c r="D49" s="5"/>
      <c r="E49" s="8"/>
      <c r="F49" s="1"/>
      <c r="G49" s="1"/>
    </row>
    <row r="50" spans="2:7" ht="15" customHeight="1" x14ac:dyDescent="0.3">
      <c r="B50" s="1"/>
      <c r="C50" s="1"/>
      <c r="D50" s="5"/>
      <c r="E50" s="8"/>
      <c r="F50" s="1"/>
      <c r="G50" s="1"/>
    </row>
    <row r="51" spans="2:7" ht="15" customHeight="1" x14ac:dyDescent="0.3">
      <c r="B51" s="1"/>
      <c r="C51" s="1"/>
      <c r="D51" s="5"/>
      <c r="E51" s="8"/>
      <c r="F51" s="1"/>
      <c r="G51" s="1"/>
    </row>
    <row r="52" spans="2:7" ht="15" customHeight="1" x14ac:dyDescent="0.3">
      <c r="B52" s="1"/>
      <c r="C52" s="1"/>
      <c r="D52" s="5"/>
      <c r="E52" s="8"/>
      <c r="F52" s="1"/>
      <c r="G52" s="1"/>
    </row>
    <row r="53" spans="2:7" ht="15" customHeight="1" x14ac:dyDescent="0.3">
      <c r="B53" s="1"/>
      <c r="C53" s="1"/>
      <c r="D53" s="5"/>
      <c r="E53" s="8"/>
      <c r="F53" s="1"/>
      <c r="G53" s="1"/>
    </row>
    <row r="54" spans="2:7" ht="15" customHeight="1" x14ac:dyDescent="0.3">
      <c r="B54" s="1"/>
      <c r="C54" s="1"/>
      <c r="D54" s="5"/>
      <c r="E54" s="8"/>
      <c r="F54" s="1"/>
      <c r="G54" s="1"/>
    </row>
    <row r="55" spans="2:7" ht="15" customHeight="1" x14ac:dyDescent="0.3">
      <c r="B55" s="1"/>
      <c r="C55" s="1"/>
      <c r="D55" s="5"/>
      <c r="E55" s="8"/>
      <c r="F55" s="1"/>
      <c r="G55" s="1"/>
    </row>
    <row r="56" spans="2:7" ht="15" customHeight="1" x14ac:dyDescent="0.3">
      <c r="B56" s="1"/>
      <c r="C56" s="1"/>
      <c r="D56" s="5"/>
      <c r="E56" s="8"/>
      <c r="F56" s="1"/>
      <c r="G56" s="1"/>
    </row>
    <row r="57" spans="2:7" ht="15" customHeight="1" x14ac:dyDescent="0.3">
      <c r="B57" s="1"/>
      <c r="C57" s="1"/>
      <c r="D57" s="5"/>
      <c r="E57" s="8"/>
      <c r="F57" s="1"/>
      <c r="G57" s="1"/>
    </row>
    <row r="58" spans="2:7" ht="15" customHeight="1" x14ac:dyDescent="0.3">
      <c r="B58" s="1"/>
      <c r="C58" s="1"/>
      <c r="D58" s="5"/>
      <c r="E58" s="8"/>
      <c r="F58" s="1"/>
      <c r="G58" s="1"/>
    </row>
    <row r="59" spans="2:7" ht="15" customHeight="1" x14ac:dyDescent="0.3">
      <c r="B59" s="1"/>
      <c r="C59" s="1"/>
      <c r="D59" s="5"/>
      <c r="E59" s="8"/>
      <c r="F59" s="1"/>
      <c r="G59" s="1"/>
    </row>
    <row r="60" spans="2:7" ht="15" customHeight="1" x14ac:dyDescent="0.3">
      <c r="B60" s="1"/>
      <c r="C60" s="1"/>
      <c r="D60" s="5"/>
      <c r="E60" s="8"/>
      <c r="F60" s="1"/>
      <c r="G60" s="1"/>
    </row>
    <row r="61" spans="2:7" ht="15" customHeight="1" x14ac:dyDescent="0.3">
      <c r="B61" s="1"/>
      <c r="C61" s="1"/>
      <c r="D61" s="5"/>
      <c r="E61" s="8"/>
      <c r="F61" s="1"/>
      <c r="G61" s="1"/>
    </row>
    <row r="62" spans="2:7" ht="15" customHeight="1" x14ac:dyDescent="0.3">
      <c r="B62" s="1"/>
      <c r="C62" s="1"/>
      <c r="D62" s="5"/>
      <c r="E62" s="8"/>
      <c r="F62" s="1"/>
      <c r="G62" s="1"/>
    </row>
    <row r="63" spans="2:7" ht="15" customHeight="1" x14ac:dyDescent="0.3">
      <c r="B63" s="1"/>
      <c r="C63" s="1"/>
      <c r="D63" s="5"/>
      <c r="E63" s="8"/>
      <c r="F63" s="1"/>
      <c r="G63" s="1"/>
    </row>
    <row r="64" spans="2:7" ht="15" customHeight="1" x14ac:dyDescent="0.3">
      <c r="B64" s="1"/>
      <c r="C64" s="1"/>
      <c r="D64" s="5"/>
      <c r="E64" s="8"/>
      <c r="F64" s="1"/>
      <c r="G64" s="1"/>
    </row>
    <row r="65" spans="2:7" ht="15" customHeight="1" x14ac:dyDescent="0.3">
      <c r="B65" s="1"/>
      <c r="C65" s="1"/>
      <c r="D65" s="5"/>
      <c r="E65" s="8"/>
      <c r="F65" s="1"/>
      <c r="G65" s="1"/>
    </row>
    <row r="66" spans="2:7" ht="15" customHeight="1" x14ac:dyDescent="0.3">
      <c r="B66" s="1"/>
      <c r="C66" s="1"/>
      <c r="D66" s="5"/>
      <c r="E66" s="8"/>
      <c r="F66" s="1"/>
      <c r="G66" s="1"/>
    </row>
    <row r="67" spans="2:7" ht="15" customHeight="1" x14ac:dyDescent="0.3">
      <c r="B67" s="1"/>
      <c r="C67" s="1"/>
      <c r="D67" s="5"/>
      <c r="E67" s="8"/>
      <c r="F67" s="1"/>
      <c r="G67" s="1"/>
    </row>
    <row r="68" spans="2:7" ht="15" customHeight="1" x14ac:dyDescent="0.3">
      <c r="B68" s="1"/>
      <c r="C68" s="1"/>
      <c r="D68" s="5"/>
      <c r="E68" s="8"/>
      <c r="F68" s="1"/>
      <c r="G68" s="1"/>
    </row>
    <row r="69" spans="2:7" ht="15" customHeight="1" x14ac:dyDescent="0.3">
      <c r="B69" s="1"/>
      <c r="C69" s="1"/>
      <c r="D69" s="5"/>
      <c r="E69" s="8"/>
      <c r="F69" s="1"/>
      <c r="G69" s="1"/>
    </row>
    <row r="70" spans="2:7" ht="15" customHeight="1" x14ac:dyDescent="0.3">
      <c r="B70" s="1"/>
      <c r="C70" s="1"/>
      <c r="D70" s="5"/>
      <c r="E70" s="8"/>
      <c r="F70" s="1"/>
      <c r="G70" s="1"/>
    </row>
    <row r="71" spans="2:7" ht="15" customHeight="1" x14ac:dyDescent="0.3">
      <c r="B71" s="1"/>
      <c r="C71" s="1"/>
      <c r="D71" s="5"/>
      <c r="E71" s="8"/>
      <c r="F71" s="1"/>
      <c r="G71" s="1"/>
    </row>
    <row r="72" spans="2:7" ht="15" customHeight="1" x14ac:dyDescent="0.3">
      <c r="B72" s="1"/>
      <c r="C72" s="1"/>
      <c r="D72" s="5"/>
      <c r="E72" s="8"/>
      <c r="F72" s="1"/>
      <c r="G72" s="1"/>
    </row>
    <row r="73" spans="2:7" ht="15" customHeight="1" x14ac:dyDescent="0.3">
      <c r="B73" s="1"/>
      <c r="C73" s="1"/>
      <c r="D73" s="5"/>
      <c r="E73" s="8"/>
      <c r="F73" s="1"/>
      <c r="G73" s="1"/>
    </row>
    <row r="74" spans="2:7" ht="15" customHeight="1" x14ac:dyDescent="0.3">
      <c r="B74" s="9"/>
      <c r="C74" s="1"/>
      <c r="D74" s="5"/>
      <c r="E74" s="8"/>
      <c r="F74" s="1"/>
      <c r="G74" s="1"/>
    </row>
    <row r="75" spans="2:7" ht="15" customHeight="1" x14ac:dyDescent="0.3">
      <c r="B75" s="1"/>
      <c r="C75" s="1"/>
      <c r="D75" s="5"/>
      <c r="E75" s="8"/>
      <c r="F75" s="1"/>
      <c r="G75" s="1"/>
    </row>
    <row r="76" spans="2:7" ht="15" customHeight="1" x14ac:dyDescent="0.3">
      <c r="B76" s="1"/>
      <c r="C76" s="1"/>
      <c r="D76" s="5"/>
      <c r="E76" s="8"/>
      <c r="F76" s="1"/>
      <c r="G76" s="1"/>
    </row>
    <row r="77" spans="2:7" ht="15" customHeight="1" x14ac:dyDescent="0.3">
      <c r="B77" s="1"/>
      <c r="C77" s="1"/>
      <c r="D77" s="5"/>
      <c r="E77" s="8"/>
      <c r="F77" s="1"/>
      <c r="G77" s="1"/>
    </row>
    <row r="78" spans="2:7" ht="15" customHeight="1" x14ac:dyDescent="0.3">
      <c r="B78" s="1"/>
      <c r="C78" s="1"/>
      <c r="D78" s="5"/>
      <c r="E78" s="8"/>
      <c r="F78" s="1"/>
      <c r="G78" s="1"/>
    </row>
    <row r="79" spans="2:7" ht="15" customHeight="1" x14ac:dyDescent="0.3">
      <c r="B79" s="1"/>
      <c r="C79" s="1"/>
      <c r="D79" s="5"/>
      <c r="E79" s="8"/>
      <c r="F79" s="1"/>
      <c r="G79" s="1"/>
    </row>
    <row r="80" spans="2:7" ht="15" customHeight="1" x14ac:dyDescent="0.3">
      <c r="B80" s="1"/>
      <c r="C80" s="1"/>
      <c r="D80" s="5"/>
      <c r="E80" s="8"/>
      <c r="F80" s="1"/>
      <c r="G80" s="1"/>
    </row>
    <row r="81" spans="2:7" ht="15" customHeight="1" x14ac:dyDescent="0.3">
      <c r="B81" s="1"/>
      <c r="C81" s="1"/>
      <c r="D81" s="5"/>
      <c r="E81" s="8"/>
      <c r="F81" s="1"/>
      <c r="G81" s="1"/>
    </row>
    <row r="82" spans="2:7" ht="15" customHeight="1" x14ac:dyDescent="0.3">
      <c r="B82" s="1"/>
      <c r="C82" s="1"/>
      <c r="D82" s="5"/>
      <c r="E82" s="8"/>
      <c r="F82" s="1"/>
      <c r="G82" s="1"/>
    </row>
    <row r="83" spans="2:7" ht="15" customHeight="1" x14ac:dyDescent="0.3">
      <c r="B83" s="1"/>
      <c r="C83" s="1"/>
      <c r="D83" s="5"/>
      <c r="E83" s="8"/>
      <c r="F83" s="1"/>
      <c r="G83" s="1"/>
    </row>
    <row r="84" spans="2:7" ht="15" customHeight="1" x14ac:dyDescent="0.3">
      <c r="B84" s="1"/>
      <c r="C84" s="1"/>
      <c r="D84" s="5"/>
      <c r="E84" s="8"/>
      <c r="F84" s="1"/>
      <c r="G84" s="1"/>
    </row>
    <row r="85" spans="2:7" ht="15" customHeight="1" x14ac:dyDescent="0.3">
      <c r="B85" s="1"/>
      <c r="C85" s="1"/>
      <c r="D85" s="5"/>
      <c r="E85" s="8"/>
      <c r="F85" s="1"/>
      <c r="G85" s="1"/>
    </row>
    <row r="86" spans="2:7" ht="15" customHeight="1" x14ac:dyDescent="0.3">
      <c r="B86" s="1"/>
      <c r="C86" s="1"/>
      <c r="D86" s="5"/>
      <c r="E86" s="8"/>
      <c r="F86" s="1"/>
      <c r="G86" s="1"/>
    </row>
    <row r="87" spans="2:7" ht="15" customHeight="1" x14ac:dyDescent="0.3">
      <c r="B87" s="1"/>
      <c r="C87" s="1"/>
      <c r="D87" s="5"/>
      <c r="E87" s="8"/>
      <c r="F87" s="1"/>
      <c r="G87" s="1"/>
    </row>
    <row r="88" spans="2:7" ht="15" customHeight="1" x14ac:dyDescent="0.3">
      <c r="B88" s="1"/>
      <c r="C88" s="1"/>
      <c r="D88" s="5"/>
      <c r="E88" s="8"/>
      <c r="F88" s="1"/>
      <c r="G88" s="1"/>
    </row>
    <row r="89" spans="2:7" ht="15" customHeight="1" x14ac:dyDescent="0.3">
      <c r="B89" s="1"/>
      <c r="C89" s="1"/>
      <c r="D89" s="5"/>
      <c r="E89" s="8"/>
      <c r="F89" s="1"/>
      <c r="G89" s="1"/>
    </row>
    <row r="90" spans="2:7" ht="15" customHeight="1" x14ac:dyDescent="0.3">
      <c r="B90" s="1"/>
      <c r="C90" s="1"/>
      <c r="D90" s="5"/>
      <c r="E90" s="8"/>
      <c r="F90" s="1"/>
      <c r="G90" s="1"/>
    </row>
    <row r="91" spans="2:7" ht="15" customHeight="1" x14ac:dyDescent="0.3">
      <c r="B91" s="1"/>
      <c r="C91" s="1"/>
      <c r="D91" s="5"/>
      <c r="E91" s="8"/>
      <c r="F91" s="1"/>
      <c r="G91" s="1"/>
    </row>
    <row r="92" spans="2:7" ht="15" customHeight="1" x14ac:dyDescent="0.3">
      <c r="B92" s="1"/>
      <c r="C92" s="1"/>
      <c r="D92" s="5"/>
      <c r="E92" s="8"/>
      <c r="F92" s="1"/>
      <c r="G92" s="1"/>
    </row>
    <row r="93" spans="2:7" ht="15" customHeight="1" x14ac:dyDescent="0.3">
      <c r="B93" s="1"/>
      <c r="C93" s="1"/>
      <c r="D93" s="5"/>
      <c r="E93" s="8"/>
      <c r="F93" s="1"/>
      <c r="G93" s="1"/>
    </row>
    <row r="94" spans="2:7" ht="15" customHeight="1" x14ac:dyDescent="0.3">
      <c r="B94" s="1"/>
      <c r="C94" s="1"/>
      <c r="D94" s="5"/>
      <c r="E94" s="8"/>
      <c r="F94" s="1"/>
      <c r="G94" s="1"/>
    </row>
    <row r="95" spans="2:7" ht="15" customHeight="1" x14ac:dyDescent="0.3">
      <c r="B95" s="1"/>
      <c r="C95" s="1"/>
      <c r="D95" s="5"/>
      <c r="E95" s="8"/>
      <c r="F95" s="1"/>
      <c r="G95" s="1"/>
    </row>
    <row r="96" spans="2:7" ht="15" customHeight="1" x14ac:dyDescent="0.3">
      <c r="B96" s="1"/>
      <c r="C96" s="1"/>
      <c r="D96" s="5"/>
      <c r="E96" s="8"/>
      <c r="F96" s="1"/>
      <c r="G96" s="1"/>
    </row>
    <row r="97" spans="2:7" ht="15" customHeight="1" x14ac:dyDescent="0.3">
      <c r="B97" s="1"/>
      <c r="C97" s="1"/>
      <c r="D97" s="5"/>
      <c r="E97" s="8"/>
      <c r="F97" s="1"/>
      <c r="G97" s="1"/>
    </row>
    <row r="98" spans="2:7" ht="15" customHeight="1" x14ac:dyDescent="0.3">
      <c r="B98" s="1"/>
      <c r="C98" s="1"/>
      <c r="D98" s="5"/>
      <c r="E98" s="8"/>
      <c r="F98" s="1"/>
      <c r="G98" s="1"/>
    </row>
    <row r="99" spans="2:7" ht="15" customHeight="1" x14ac:dyDescent="0.3">
      <c r="B99" s="1"/>
      <c r="C99" s="1"/>
      <c r="D99" s="5"/>
      <c r="E99" s="8"/>
      <c r="F99" s="1"/>
      <c r="G99" s="1"/>
    </row>
    <row r="100" spans="2:7" ht="15" customHeight="1" x14ac:dyDescent="0.3">
      <c r="B100" s="1"/>
      <c r="C100" s="1"/>
      <c r="D100" s="5"/>
      <c r="E100" s="8"/>
      <c r="F100" s="1"/>
      <c r="G100" s="1"/>
    </row>
    <row r="101" spans="2:7" ht="15" customHeight="1" x14ac:dyDescent="0.3">
      <c r="B101" s="1"/>
      <c r="C101" s="1"/>
      <c r="D101" s="5"/>
      <c r="E101" s="8"/>
      <c r="F101" s="1"/>
      <c r="G101" s="1"/>
    </row>
    <row r="102" spans="2:7" ht="15" customHeight="1" x14ac:dyDescent="0.3">
      <c r="B102" s="1"/>
      <c r="C102" s="1"/>
      <c r="D102" s="5"/>
      <c r="E102" s="8"/>
      <c r="F102" s="1"/>
      <c r="G102" s="1"/>
    </row>
    <row r="103" spans="2:7" ht="15" customHeight="1" x14ac:dyDescent="0.3">
      <c r="B103" s="1"/>
      <c r="C103" s="1"/>
      <c r="D103" s="5"/>
      <c r="E103" s="8"/>
      <c r="F103" s="1"/>
      <c r="G103" s="1"/>
    </row>
  </sheetData>
  <autoFilter ref="B5:G5" xr:uid="{8023A36A-B158-4EF3-BCA6-C7C80806FCE0}"/>
  <mergeCells count="2">
    <mergeCell ref="B4:E4"/>
    <mergeCell ref="F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BF25-64DD-43F5-A51A-48778D5DE64F}">
  <dimension ref="B1:G103"/>
  <sheetViews>
    <sheetView showGridLines="0" zoomScale="102" zoomScaleNormal="102" workbookViewId="0">
      <pane ySplit="5" topLeftCell="A19" activePane="bottomLeft" state="frozen"/>
      <selection pane="bottomLeft" activeCell="C34" sqref="C34"/>
    </sheetView>
  </sheetViews>
  <sheetFormatPr defaultColWidth="15.109375" defaultRowHeight="15" customHeight="1" x14ac:dyDescent="0.3"/>
  <cols>
    <col min="1" max="1" width="2" style="2" customWidth="1"/>
    <col min="2" max="2" width="13.88671875" style="2" bestFit="1" customWidth="1"/>
    <col min="3" max="3" width="13.88671875" style="2" customWidth="1"/>
    <col min="4" max="4" width="15.44140625" style="2" customWidth="1"/>
    <col min="5" max="5" width="12.77734375" style="2" customWidth="1"/>
    <col min="6" max="6" width="7.44140625" style="4" bestFit="1" customWidth="1"/>
    <col min="7" max="7" width="8" style="4" bestFit="1" customWidth="1"/>
    <col min="8" max="16384" width="15.109375" style="2"/>
  </cols>
  <sheetData>
    <row r="1" spans="2:7" ht="15.6" x14ac:dyDescent="0.3">
      <c r="B1" s="10" t="s">
        <v>21</v>
      </c>
      <c r="G1" s="3"/>
    </row>
    <row r="2" spans="2:7" ht="11.4" x14ac:dyDescent="0.3">
      <c r="G2" s="3"/>
    </row>
    <row r="3" spans="2:7" ht="11.4" x14ac:dyDescent="0.3">
      <c r="G3" s="3"/>
    </row>
    <row r="4" spans="2:7" ht="15" customHeight="1" x14ac:dyDescent="0.3">
      <c r="B4" s="13"/>
      <c r="C4" s="13"/>
      <c r="D4" s="13"/>
      <c r="E4" s="13"/>
      <c r="F4" s="13"/>
      <c r="G4" s="13"/>
    </row>
    <row r="5" spans="2:7" ht="13.8" customHeight="1" thickBot="1" x14ac:dyDescent="0.35">
      <c r="B5" s="7" t="s">
        <v>14</v>
      </c>
      <c r="C5" s="7" t="s">
        <v>16</v>
      </c>
      <c r="D5" s="7" t="s">
        <v>1</v>
      </c>
      <c r="E5" s="7" t="s">
        <v>18</v>
      </c>
      <c r="F5" s="7" t="s">
        <v>13</v>
      </c>
      <c r="G5" s="7" t="s">
        <v>3</v>
      </c>
    </row>
    <row r="6" spans="2:7" ht="15" customHeight="1" x14ac:dyDescent="0.3">
      <c r="B6" s="1" t="s">
        <v>15</v>
      </c>
      <c r="C6" s="1">
        <v>2017</v>
      </c>
      <c r="D6" s="5">
        <v>670</v>
      </c>
      <c r="E6" s="8">
        <v>2125</v>
      </c>
      <c r="F6" s="1" t="s">
        <v>2</v>
      </c>
      <c r="G6" s="1" t="s">
        <v>7</v>
      </c>
    </row>
    <row r="7" spans="2:7" ht="15" customHeight="1" x14ac:dyDescent="0.3">
      <c r="B7" s="1" t="s">
        <v>15</v>
      </c>
      <c r="C7" s="1">
        <v>2017</v>
      </c>
      <c r="D7" s="5">
        <v>743</v>
      </c>
      <c r="E7" s="8">
        <v>2461</v>
      </c>
      <c r="F7" s="1" t="s">
        <v>2</v>
      </c>
      <c r="G7" s="1" t="s">
        <v>4</v>
      </c>
    </row>
    <row r="8" spans="2:7" ht="15" customHeight="1" x14ac:dyDescent="0.3">
      <c r="B8" s="1" t="s">
        <v>15</v>
      </c>
      <c r="C8" s="1">
        <v>2017</v>
      </c>
      <c r="D8" s="5">
        <v>720</v>
      </c>
      <c r="E8" s="8">
        <v>2072</v>
      </c>
      <c r="F8" s="1" t="s">
        <v>2</v>
      </c>
      <c r="G8" s="1" t="s">
        <v>5</v>
      </c>
    </row>
    <row r="9" spans="2:7" ht="15" customHeight="1" x14ac:dyDescent="0.3">
      <c r="B9" s="1" t="s">
        <v>15</v>
      </c>
      <c r="C9" s="1">
        <v>2019</v>
      </c>
      <c r="D9" s="5">
        <v>743</v>
      </c>
      <c r="E9" s="8">
        <v>2461</v>
      </c>
      <c r="F9" s="1" t="s">
        <v>2</v>
      </c>
      <c r="G9" s="1" t="s">
        <v>4</v>
      </c>
    </row>
    <row r="10" spans="2:7" ht="15" customHeight="1" x14ac:dyDescent="0.3">
      <c r="B10" s="1" t="s">
        <v>15</v>
      </c>
      <c r="C10" s="1">
        <v>2017</v>
      </c>
      <c r="D10" s="5">
        <v>743</v>
      </c>
      <c r="E10" s="8">
        <v>2461</v>
      </c>
      <c r="F10" s="1" t="s">
        <v>2</v>
      </c>
      <c r="G10" s="1" t="s">
        <v>4</v>
      </c>
    </row>
    <row r="11" spans="2:7" ht="15" customHeight="1" x14ac:dyDescent="0.3">
      <c r="B11" s="1" t="s">
        <v>15</v>
      </c>
      <c r="C11" s="1">
        <v>2014</v>
      </c>
      <c r="D11" s="5">
        <v>743</v>
      </c>
      <c r="E11" s="8">
        <v>2461</v>
      </c>
      <c r="F11" s="1" t="s">
        <v>2</v>
      </c>
      <c r="G11" s="1" t="s">
        <v>4</v>
      </c>
    </row>
    <row r="12" spans="2:7" ht="15" customHeight="1" x14ac:dyDescent="0.3">
      <c r="B12" s="1" t="s">
        <v>15</v>
      </c>
      <c r="C12" s="1">
        <v>2017</v>
      </c>
      <c r="D12" s="5">
        <v>743</v>
      </c>
      <c r="E12" s="8">
        <v>2461</v>
      </c>
      <c r="F12" s="1" t="s">
        <v>2</v>
      </c>
      <c r="G12" s="1" t="s">
        <v>4</v>
      </c>
    </row>
    <row r="13" spans="2:7" ht="15" customHeight="1" x14ac:dyDescent="0.3">
      <c r="B13" s="1" t="s">
        <v>15</v>
      </c>
      <c r="C13" s="1">
        <v>2020</v>
      </c>
      <c r="D13" s="5">
        <v>743</v>
      </c>
      <c r="E13" s="8">
        <v>2461</v>
      </c>
      <c r="F13" s="1" t="s">
        <v>2</v>
      </c>
      <c r="G13" s="1" t="s">
        <v>4</v>
      </c>
    </row>
    <row r="14" spans="2:7" ht="15" customHeight="1" x14ac:dyDescent="0.3">
      <c r="B14" s="1" t="s">
        <v>15</v>
      </c>
      <c r="C14" s="1">
        <v>2019</v>
      </c>
      <c r="D14" s="5">
        <v>743</v>
      </c>
      <c r="E14" s="8">
        <v>2461</v>
      </c>
      <c r="F14" s="1" t="s">
        <v>2</v>
      </c>
      <c r="G14" s="1" t="s">
        <v>4</v>
      </c>
    </row>
    <row r="15" spans="2:7" ht="15" customHeight="1" x14ac:dyDescent="0.3">
      <c r="B15" s="1" t="s">
        <v>15</v>
      </c>
      <c r="C15" s="1">
        <v>2013</v>
      </c>
      <c r="D15" s="5">
        <v>743</v>
      </c>
      <c r="E15" s="8">
        <v>2461</v>
      </c>
      <c r="F15" s="1" t="s">
        <v>2</v>
      </c>
      <c r="G15" s="1" t="s">
        <v>4</v>
      </c>
    </row>
    <row r="16" spans="2:7" ht="15" customHeight="1" x14ac:dyDescent="0.3">
      <c r="B16" s="1" t="s">
        <v>15</v>
      </c>
      <c r="C16" s="1">
        <v>2016</v>
      </c>
      <c r="D16" s="5">
        <v>743</v>
      </c>
      <c r="E16" s="8">
        <v>2461</v>
      </c>
      <c r="F16" s="1" t="s">
        <v>2</v>
      </c>
      <c r="G16" s="1" t="s">
        <v>4</v>
      </c>
    </row>
    <row r="17" spans="2:7" ht="15" customHeight="1" x14ac:dyDescent="0.3">
      <c r="B17" s="1" t="s">
        <v>15</v>
      </c>
      <c r="C17" s="1">
        <v>2018</v>
      </c>
      <c r="D17" s="5">
        <v>743</v>
      </c>
      <c r="E17" s="8">
        <v>2461</v>
      </c>
      <c r="F17" s="1" t="s">
        <v>2</v>
      </c>
      <c r="G17" s="1" t="s">
        <v>4</v>
      </c>
    </row>
    <row r="18" spans="2:7" ht="15" customHeight="1" x14ac:dyDescent="0.3">
      <c r="B18" s="1" t="s">
        <v>15</v>
      </c>
      <c r="C18" s="1">
        <v>2015</v>
      </c>
      <c r="D18" s="5">
        <v>781</v>
      </c>
      <c r="E18" s="8">
        <v>2530</v>
      </c>
      <c r="F18" s="1" t="s">
        <v>2</v>
      </c>
      <c r="G18" s="1" t="s">
        <v>6</v>
      </c>
    </row>
    <row r="19" spans="2:7" ht="15" customHeight="1" x14ac:dyDescent="0.3">
      <c r="B19" s="1" t="s">
        <v>15</v>
      </c>
      <c r="C19" s="1">
        <v>2017</v>
      </c>
      <c r="D19" s="5">
        <v>782</v>
      </c>
      <c r="E19" s="8">
        <v>2341</v>
      </c>
      <c r="F19" s="1" t="s">
        <v>2</v>
      </c>
      <c r="G19" s="1" t="s">
        <v>5</v>
      </c>
    </row>
    <row r="20" spans="2:7" ht="15" customHeight="1" x14ac:dyDescent="0.3">
      <c r="B20" s="1" t="s">
        <v>15</v>
      </c>
      <c r="C20" s="1">
        <v>2017</v>
      </c>
      <c r="D20" s="5">
        <v>733</v>
      </c>
      <c r="E20" s="8">
        <v>2006</v>
      </c>
      <c r="F20" s="1" t="s">
        <v>2</v>
      </c>
      <c r="G20" s="1" t="s">
        <v>10</v>
      </c>
    </row>
    <row r="21" spans="2:7" ht="15" customHeight="1" x14ac:dyDescent="0.3">
      <c r="B21" s="1" t="s">
        <v>15</v>
      </c>
      <c r="C21" s="1">
        <v>2013</v>
      </c>
      <c r="D21" s="5">
        <v>743</v>
      </c>
      <c r="E21" s="8">
        <v>2461</v>
      </c>
      <c r="F21" s="1" t="s">
        <v>2</v>
      </c>
      <c r="G21" s="1" t="s">
        <v>4</v>
      </c>
    </row>
    <row r="22" spans="2:7" ht="15" customHeight="1" x14ac:dyDescent="0.3">
      <c r="B22" s="1" t="s">
        <v>15</v>
      </c>
      <c r="C22" s="1">
        <v>2018</v>
      </c>
      <c r="D22" s="5">
        <v>743</v>
      </c>
      <c r="E22" s="8">
        <v>2461</v>
      </c>
      <c r="F22" s="1" t="s">
        <v>2</v>
      </c>
      <c r="G22" s="1" t="s">
        <v>4</v>
      </c>
    </row>
    <row r="23" spans="2:7" ht="15" customHeight="1" x14ac:dyDescent="0.3">
      <c r="B23" s="1" t="s">
        <v>15</v>
      </c>
      <c r="C23" s="1">
        <v>2017</v>
      </c>
      <c r="D23" s="5">
        <v>756</v>
      </c>
      <c r="E23" s="8">
        <v>2185</v>
      </c>
      <c r="F23" s="1" t="s">
        <v>2</v>
      </c>
      <c r="G23" s="1" t="s">
        <v>8</v>
      </c>
    </row>
    <row r="24" spans="2:7" ht="15" customHeight="1" x14ac:dyDescent="0.3">
      <c r="B24" s="1" t="s">
        <v>15</v>
      </c>
      <c r="C24" s="1">
        <v>2020</v>
      </c>
      <c r="D24" s="5">
        <v>736</v>
      </c>
      <c r="E24" s="8">
        <v>1988</v>
      </c>
      <c r="F24" s="1" t="s">
        <v>2</v>
      </c>
      <c r="G24" s="1" t="s">
        <v>5</v>
      </c>
    </row>
    <row r="25" spans="2:7" ht="15" customHeight="1" x14ac:dyDescent="0.3">
      <c r="B25" s="1" t="s">
        <v>15</v>
      </c>
      <c r="C25" s="1">
        <v>2012</v>
      </c>
      <c r="D25" s="5">
        <v>785</v>
      </c>
      <c r="E25" s="8">
        <v>2529</v>
      </c>
      <c r="F25" s="1" t="s">
        <v>2</v>
      </c>
      <c r="G25" s="1" t="s">
        <v>10</v>
      </c>
    </row>
    <row r="26" spans="2:7" ht="15" customHeight="1" x14ac:dyDescent="0.3">
      <c r="B26" s="1" t="s">
        <v>15</v>
      </c>
      <c r="C26" s="1">
        <v>2016</v>
      </c>
      <c r="D26" s="5">
        <v>743</v>
      </c>
      <c r="E26" s="8">
        <v>2461</v>
      </c>
      <c r="F26" s="1" t="s">
        <v>2</v>
      </c>
      <c r="G26" s="1" t="s">
        <v>4</v>
      </c>
    </row>
    <row r="27" spans="2:7" ht="15" customHeight="1" x14ac:dyDescent="0.3">
      <c r="B27" s="1" t="s">
        <v>15</v>
      </c>
      <c r="C27" s="1">
        <v>2014</v>
      </c>
      <c r="D27" s="5">
        <v>798</v>
      </c>
      <c r="E27" s="8">
        <v>2347</v>
      </c>
      <c r="F27" s="1" t="s">
        <v>2</v>
      </c>
      <c r="G27" s="1" t="s">
        <v>5</v>
      </c>
    </row>
    <row r="28" spans="2:7" ht="15" customHeight="1" x14ac:dyDescent="0.3">
      <c r="B28" s="1" t="s">
        <v>15</v>
      </c>
      <c r="C28" s="1">
        <v>2012</v>
      </c>
      <c r="D28" s="5">
        <v>798</v>
      </c>
      <c r="E28" s="8">
        <v>2874</v>
      </c>
      <c r="F28" s="1" t="s">
        <v>2</v>
      </c>
      <c r="G28" s="1" t="s">
        <v>5</v>
      </c>
    </row>
    <row r="29" spans="2:7" ht="15" customHeight="1" x14ac:dyDescent="0.3">
      <c r="B29" s="1" t="s">
        <v>15</v>
      </c>
      <c r="C29" s="1">
        <v>2015</v>
      </c>
      <c r="D29" s="5">
        <v>743</v>
      </c>
      <c r="E29" s="8">
        <v>2461</v>
      </c>
      <c r="F29" s="1" t="s">
        <v>2</v>
      </c>
      <c r="G29" s="1" t="s">
        <v>4</v>
      </c>
    </row>
    <row r="30" spans="2:7" ht="15" customHeight="1" x14ac:dyDescent="0.3">
      <c r="B30" s="1" t="s">
        <v>15</v>
      </c>
      <c r="C30" s="1">
        <v>2017</v>
      </c>
      <c r="D30" s="5">
        <v>743</v>
      </c>
      <c r="E30" s="8">
        <v>2461</v>
      </c>
      <c r="F30" s="1" t="s">
        <v>2</v>
      </c>
      <c r="G30" s="1" t="s">
        <v>4</v>
      </c>
    </row>
    <row r="31" spans="2:7" ht="15" customHeight="1" x14ac:dyDescent="0.3">
      <c r="B31" s="1" t="s">
        <v>15</v>
      </c>
      <c r="C31" s="1">
        <v>2018</v>
      </c>
      <c r="D31" s="5">
        <v>743</v>
      </c>
      <c r="E31" s="8">
        <v>2461</v>
      </c>
      <c r="F31" s="1" t="s">
        <v>2</v>
      </c>
      <c r="G31" s="1" t="s">
        <v>4</v>
      </c>
    </row>
    <row r="32" spans="2:7" ht="15" customHeight="1" x14ac:dyDescent="0.3">
      <c r="B32" s="1"/>
      <c r="C32" s="1"/>
      <c r="D32" s="5"/>
      <c r="E32" s="8"/>
      <c r="F32" s="1"/>
      <c r="G32" s="1"/>
    </row>
    <row r="33" spans="2:7" ht="15" customHeight="1" x14ac:dyDescent="0.3">
      <c r="B33" s="1"/>
      <c r="E33" s="8"/>
      <c r="F33" s="1"/>
      <c r="G33" s="1"/>
    </row>
    <row r="34" spans="2:7" ht="15" customHeight="1" x14ac:dyDescent="0.3">
      <c r="B34" s="1"/>
      <c r="C34" s="2" t="s">
        <v>29</v>
      </c>
      <c r="E34" s="8"/>
      <c r="F34" s="1"/>
      <c r="G34" s="1"/>
    </row>
    <row r="35" spans="2:7" ht="15" customHeight="1" x14ac:dyDescent="0.3">
      <c r="B35" s="1"/>
      <c r="C35" s="1" t="s">
        <v>25</v>
      </c>
      <c r="D35" s="15">
        <f>SKEW(D6:D31)</f>
        <v>-0.32573785136193428</v>
      </c>
      <c r="E35" s="8"/>
      <c r="F35" s="1"/>
      <c r="G35" s="1"/>
    </row>
    <row r="36" spans="2:7" ht="15" customHeight="1" x14ac:dyDescent="0.3">
      <c r="B36" s="1"/>
      <c r="C36" s="1" t="s">
        <v>26</v>
      </c>
      <c r="D36" s="15">
        <f>_xlfn.VAR.S(D6:D31)</f>
        <v>652.59846153846172</v>
      </c>
      <c r="E36" s="8"/>
      <c r="F36" s="1"/>
      <c r="G36" s="1"/>
    </row>
    <row r="37" spans="2:7" ht="15" customHeight="1" x14ac:dyDescent="0.3">
      <c r="B37" s="1"/>
      <c r="C37" s="1"/>
      <c r="D37" s="5"/>
      <c r="E37" s="8"/>
      <c r="F37" s="1"/>
      <c r="G37" s="1"/>
    </row>
    <row r="38" spans="2:7" ht="15" customHeight="1" x14ac:dyDescent="0.3">
      <c r="B38" s="1"/>
      <c r="C38" s="1"/>
      <c r="D38" s="5"/>
      <c r="E38" s="8"/>
      <c r="F38" s="1"/>
      <c r="G38" s="1"/>
    </row>
    <row r="39" spans="2:7" ht="15" customHeight="1" x14ac:dyDescent="0.3">
      <c r="B39" s="1"/>
      <c r="C39" s="1"/>
      <c r="D39" s="5"/>
      <c r="E39" s="8"/>
      <c r="F39" s="1"/>
      <c r="G39" s="1"/>
    </row>
    <row r="40" spans="2:7" ht="15" customHeight="1" x14ac:dyDescent="0.3">
      <c r="B40" s="1"/>
      <c r="C40" s="1"/>
      <c r="D40" s="5"/>
      <c r="E40" s="8"/>
      <c r="F40" s="1"/>
      <c r="G40" s="1"/>
    </row>
    <row r="41" spans="2:7" ht="15" customHeight="1" x14ac:dyDescent="0.3">
      <c r="B41" s="1"/>
      <c r="C41" s="1"/>
      <c r="D41" s="5"/>
      <c r="E41" s="8"/>
      <c r="F41" s="1"/>
      <c r="G41" s="1"/>
    </row>
    <row r="42" spans="2:7" ht="15" customHeight="1" x14ac:dyDescent="0.3">
      <c r="B42" s="1"/>
      <c r="C42" s="1"/>
      <c r="D42" s="5"/>
      <c r="E42" s="8"/>
      <c r="F42" s="1"/>
      <c r="G42" s="1"/>
    </row>
    <row r="43" spans="2:7" ht="15" customHeight="1" x14ac:dyDescent="0.3">
      <c r="B43" s="1"/>
      <c r="C43" s="1"/>
      <c r="D43" s="5"/>
      <c r="E43" s="8"/>
      <c r="F43" s="1"/>
      <c r="G43" s="1"/>
    </row>
    <row r="44" spans="2:7" ht="15" customHeight="1" x14ac:dyDescent="0.3">
      <c r="B44" s="1"/>
      <c r="C44" s="1"/>
      <c r="D44" s="5"/>
      <c r="E44" s="8"/>
      <c r="F44" s="1"/>
      <c r="G44" s="1"/>
    </row>
    <row r="45" spans="2:7" ht="15" customHeight="1" x14ac:dyDescent="0.3">
      <c r="B45" s="1"/>
      <c r="C45" s="1"/>
      <c r="D45" s="5"/>
      <c r="E45" s="8"/>
      <c r="F45" s="1"/>
      <c r="G45" s="1"/>
    </row>
    <row r="46" spans="2:7" ht="15" customHeight="1" x14ac:dyDescent="0.3">
      <c r="B46" s="1"/>
      <c r="C46" s="1"/>
      <c r="D46" s="5"/>
      <c r="E46" s="8"/>
      <c r="F46" s="1"/>
      <c r="G46" s="1"/>
    </row>
    <row r="47" spans="2:7" ht="15" customHeight="1" x14ac:dyDescent="0.3">
      <c r="B47" s="1"/>
      <c r="C47" s="1"/>
      <c r="D47" s="5"/>
      <c r="E47" s="8"/>
      <c r="F47" s="1"/>
      <c r="G47" s="1"/>
    </row>
    <row r="48" spans="2:7" ht="15" customHeight="1" x14ac:dyDescent="0.3">
      <c r="B48" s="1"/>
      <c r="C48" s="1"/>
      <c r="D48" s="5"/>
      <c r="E48" s="8"/>
      <c r="F48" s="1"/>
      <c r="G48" s="1"/>
    </row>
    <row r="49" spans="2:7" ht="15" customHeight="1" x14ac:dyDescent="0.3">
      <c r="B49" s="1"/>
      <c r="C49" s="1"/>
      <c r="D49" s="5"/>
      <c r="E49" s="8"/>
      <c r="F49" s="1"/>
      <c r="G49" s="1"/>
    </row>
    <row r="50" spans="2:7" ht="15" customHeight="1" x14ac:dyDescent="0.3">
      <c r="B50" s="1"/>
      <c r="C50" s="1"/>
      <c r="D50" s="5"/>
      <c r="E50" s="8"/>
      <c r="F50" s="1"/>
      <c r="G50" s="1"/>
    </row>
    <row r="51" spans="2:7" ht="15" customHeight="1" x14ac:dyDescent="0.3">
      <c r="B51" s="1"/>
      <c r="C51" s="1"/>
      <c r="D51" s="5"/>
      <c r="E51" s="8"/>
      <c r="F51" s="1"/>
      <c r="G51" s="1"/>
    </row>
    <row r="52" spans="2:7" ht="15" customHeight="1" x14ac:dyDescent="0.3">
      <c r="B52" s="1"/>
      <c r="C52" s="1"/>
      <c r="D52" s="5"/>
      <c r="E52" s="8"/>
      <c r="F52" s="1"/>
      <c r="G52" s="1"/>
    </row>
    <row r="53" spans="2:7" ht="15" customHeight="1" x14ac:dyDescent="0.3">
      <c r="B53" s="1"/>
      <c r="C53" s="1"/>
      <c r="D53" s="5"/>
      <c r="E53" s="8"/>
      <c r="F53" s="1"/>
      <c r="G53" s="1"/>
    </row>
    <row r="54" spans="2:7" ht="15" customHeight="1" x14ac:dyDescent="0.3">
      <c r="B54" s="1"/>
      <c r="C54" s="1"/>
      <c r="D54" s="5"/>
      <c r="E54" s="8"/>
      <c r="F54" s="1"/>
      <c r="G54" s="1"/>
    </row>
    <row r="55" spans="2:7" ht="15" customHeight="1" x14ac:dyDescent="0.3">
      <c r="B55" s="1"/>
      <c r="C55" s="1"/>
      <c r="D55" s="5"/>
      <c r="E55" s="8"/>
      <c r="F55" s="1"/>
      <c r="G55" s="1"/>
    </row>
    <row r="56" spans="2:7" ht="15" customHeight="1" x14ac:dyDescent="0.3">
      <c r="B56" s="1"/>
      <c r="C56" s="1"/>
      <c r="D56" s="5"/>
      <c r="E56" s="8"/>
      <c r="F56" s="1"/>
      <c r="G56" s="1"/>
    </row>
    <row r="57" spans="2:7" ht="15" customHeight="1" x14ac:dyDescent="0.3">
      <c r="B57" s="1"/>
      <c r="C57" s="1"/>
      <c r="D57" s="5"/>
      <c r="E57" s="8"/>
      <c r="F57" s="1"/>
      <c r="G57" s="1"/>
    </row>
    <row r="58" spans="2:7" ht="15" customHeight="1" x14ac:dyDescent="0.3">
      <c r="B58" s="1"/>
      <c r="C58" s="1"/>
      <c r="D58" s="5"/>
      <c r="E58" s="8"/>
      <c r="F58" s="1"/>
      <c r="G58" s="1"/>
    </row>
    <row r="59" spans="2:7" ht="15" customHeight="1" x14ac:dyDescent="0.3">
      <c r="B59" s="1"/>
      <c r="C59" s="1"/>
      <c r="D59" s="5"/>
      <c r="E59" s="8"/>
      <c r="F59" s="1"/>
      <c r="G59" s="1"/>
    </row>
    <row r="60" spans="2:7" ht="15" customHeight="1" x14ac:dyDescent="0.3">
      <c r="B60" s="1"/>
      <c r="C60" s="1"/>
      <c r="D60" s="5"/>
      <c r="E60" s="8"/>
      <c r="F60" s="1"/>
      <c r="G60" s="1"/>
    </row>
    <row r="61" spans="2:7" ht="15" customHeight="1" x14ac:dyDescent="0.3">
      <c r="B61" s="1"/>
      <c r="C61" s="1"/>
      <c r="D61" s="5"/>
      <c r="E61" s="8"/>
      <c r="F61" s="1"/>
      <c r="G61" s="1"/>
    </row>
    <row r="62" spans="2:7" ht="15" customHeight="1" x14ac:dyDescent="0.3">
      <c r="B62" s="1"/>
      <c r="C62" s="1"/>
      <c r="D62" s="5"/>
      <c r="E62" s="8"/>
      <c r="F62" s="1"/>
      <c r="G62" s="1"/>
    </row>
    <row r="63" spans="2:7" ht="15" customHeight="1" x14ac:dyDescent="0.3">
      <c r="B63" s="1"/>
      <c r="C63" s="1"/>
      <c r="D63" s="5"/>
      <c r="E63" s="8"/>
      <c r="F63" s="1"/>
      <c r="G63" s="1"/>
    </row>
    <row r="64" spans="2:7" ht="15" customHeight="1" x14ac:dyDescent="0.3">
      <c r="B64" s="1"/>
      <c r="C64" s="1"/>
      <c r="D64" s="5"/>
      <c r="E64" s="8"/>
      <c r="F64" s="1"/>
      <c r="G64" s="1"/>
    </row>
    <row r="65" spans="2:7" ht="15" customHeight="1" x14ac:dyDescent="0.3">
      <c r="B65" s="1"/>
      <c r="C65" s="1"/>
      <c r="D65" s="5"/>
      <c r="E65" s="8"/>
      <c r="F65" s="1"/>
      <c r="G65" s="1"/>
    </row>
    <row r="66" spans="2:7" ht="15" customHeight="1" x14ac:dyDescent="0.3">
      <c r="B66" s="1"/>
      <c r="C66" s="1"/>
      <c r="D66" s="5"/>
      <c r="E66" s="8"/>
      <c r="F66" s="1"/>
      <c r="G66" s="1"/>
    </row>
    <row r="67" spans="2:7" ht="15" customHeight="1" x14ac:dyDescent="0.3">
      <c r="B67" s="1"/>
      <c r="C67" s="1"/>
      <c r="D67" s="5"/>
      <c r="E67" s="8"/>
      <c r="F67" s="1"/>
      <c r="G67" s="1"/>
    </row>
    <row r="68" spans="2:7" ht="15" customHeight="1" x14ac:dyDescent="0.3">
      <c r="B68" s="1"/>
      <c r="C68" s="1"/>
      <c r="D68" s="5"/>
      <c r="E68" s="8"/>
      <c r="F68" s="1"/>
      <c r="G68" s="1"/>
    </row>
    <row r="69" spans="2:7" ht="15" customHeight="1" x14ac:dyDescent="0.3">
      <c r="B69" s="1"/>
      <c r="C69" s="1"/>
      <c r="D69" s="5"/>
      <c r="E69" s="8"/>
      <c r="F69" s="1"/>
      <c r="G69" s="1"/>
    </row>
    <row r="70" spans="2:7" ht="15" customHeight="1" x14ac:dyDescent="0.3">
      <c r="B70" s="1"/>
      <c r="C70" s="1"/>
      <c r="D70" s="5"/>
      <c r="E70" s="8"/>
      <c r="F70" s="1"/>
      <c r="G70" s="1"/>
    </row>
    <row r="71" spans="2:7" ht="15" customHeight="1" x14ac:dyDescent="0.3">
      <c r="B71" s="1"/>
      <c r="C71" s="1"/>
      <c r="D71" s="5"/>
      <c r="E71" s="8"/>
      <c r="F71" s="1"/>
      <c r="G71" s="1"/>
    </row>
    <row r="72" spans="2:7" ht="15" customHeight="1" x14ac:dyDescent="0.3">
      <c r="B72" s="1"/>
      <c r="C72" s="1"/>
      <c r="D72" s="5"/>
      <c r="E72" s="8"/>
      <c r="F72" s="1"/>
      <c r="G72" s="1"/>
    </row>
    <row r="73" spans="2:7" ht="15" customHeight="1" x14ac:dyDescent="0.3">
      <c r="B73" s="1"/>
      <c r="C73" s="1"/>
      <c r="D73" s="5"/>
      <c r="E73" s="8"/>
      <c r="F73" s="1"/>
      <c r="G73" s="1"/>
    </row>
    <row r="74" spans="2:7" ht="15" customHeight="1" x14ac:dyDescent="0.3">
      <c r="B74" s="9"/>
      <c r="C74" s="1"/>
      <c r="D74" s="5"/>
      <c r="E74" s="8"/>
      <c r="F74" s="1"/>
      <c r="G74" s="1"/>
    </row>
    <row r="75" spans="2:7" ht="15" customHeight="1" x14ac:dyDescent="0.3">
      <c r="B75" s="1"/>
      <c r="C75" s="1"/>
      <c r="D75" s="5"/>
      <c r="E75" s="8"/>
      <c r="F75" s="1"/>
      <c r="G75" s="1"/>
    </row>
    <row r="76" spans="2:7" ht="15" customHeight="1" x14ac:dyDescent="0.3">
      <c r="B76" s="1"/>
      <c r="C76" s="1"/>
      <c r="D76" s="5"/>
      <c r="E76" s="8"/>
      <c r="F76" s="1"/>
      <c r="G76" s="1"/>
    </row>
    <row r="77" spans="2:7" ht="15" customHeight="1" x14ac:dyDescent="0.3">
      <c r="B77" s="1"/>
      <c r="C77" s="1"/>
      <c r="D77" s="5"/>
      <c r="E77" s="8"/>
      <c r="F77" s="1"/>
      <c r="G77" s="1"/>
    </row>
    <row r="78" spans="2:7" ht="15" customHeight="1" x14ac:dyDescent="0.3">
      <c r="B78" s="1"/>
      <c r="C78" s="1"/>
      <c r="D78" s="5"/>
      <c r="E78" s="8"/>
      <c r="F78" s="1"/>
      <c r="G78" s="1"/>
    </row>
    <row r="79" spans="2:7" ht="15" customHeight="1" x14ac:dyDescent="0.3">
      <c r="B79" s="1"/>
      <c r="C79" s="1"/>
      <c r="D79" s="5"/>
      <c r="E79" s="8"/>
      <c r="F79" s="1"/>
      <c r="G79" s="1"/>
    </row>
    <row r="80" spans="2:7" ht="15" customHeight="1" x14ac:dyDescent="0.3">
      <c r="B80" s="1"/>
      <c r="C80" s="1"/>
      <c r="D80" s="5"/>
      <c r="E80" s="8"/>
      <c r="F80" s="1"/>
      <c r="G80" s="1"/>
    </row>
    <row r="81" spans="2:7" ht="15" customHeight="1" x14ac:dyDescent="0.3">
      <c r="B81" s="1"/>
      <c r="C81" s="1"/>
      <c r="D81" s="5"/>
      <c r="E81" s="8"/>
      <c r="F81" s="1"/>
      <c r="G81" s="1"/>
    </row>
    <row r="82" spans="2:7" ht="15" customHeight="1" x14ac:dyDescent="0.3">
      <c r="B82" s="1"/>
      <c r="C82" s="1"/>
      <c r="D82" s="5"/>
      <c r="E82" s="8"/>
      <c r="F82" s="1"/>
      <c r="G82" s="1"/>
    </row>
    <row r="83" spans="2:7" ht="15" customHeight="1" x14ac:dyDescent="0.3">
      <c r="B83" s="1"/>
      <c r="C83" s="1"/>
      <c r="D83" s="5"/>
      <c r="E83" s="8"/>
      <c r="F83" s="1"/>
      <c r="G83" s="1"/>
    </row>
    <row r="84" spans="2:7" ht="15" customHeight="1" x14ac:dyDescent="0.3">
      <c r="B84" s="1"/>
      <c r="C84" s="1"/>
      <c r="D84" s="5"/>
      <c r="E84" s="8"/>
      <c r="F84" s="1"/>
      <c r="G84" s="1"/>
    </row>
    <row r="85" spans="2:7" ht="15" customHeight="1" x14ac:dyDescent="0.3">
      <c r="B85" s="1"/>
      <c r="C85" s="1"/>
      <c r="D85" s="5"/>
      <c r="E85" s="8"/>
      <c r="F85" s="1"/>
      <c r="G85" s="1"/>
    </row>
    <row r="86" spans="2:7" ht="15" customHeight="1" x14ac:dyDescent="0.3">
      <c r="B86" s="1"/>
      <c r="C86" s="1"/>
      <c r="D86" s="5"/>
      <c r="E86" s="8"/>
      <c r="F86" s="1"/>
      <c r="G86" s="1"/>
    </row>
    <row r="87" spans="2:7" ht="15" customHeight="1" x14ac:dyDescent="0.3">
      <c r="B87" s="1"/>
      <c r="C87" s="1"/>
      <c r="D87" s="5"/>
      <c r="E87" s="8"/>
      <c r="F87" s="1"/>
      <c r="G87" s="1"/>
    </row>
    <row r="88" spans="2:7" ht="15" customHeight="1" x14ac:dyDescent="0.3">
      <c r="B88" s="1"/>
      <c r="C88" s="1"/>
      <c r="D88" s="5"/>
      <c r="E88" s="8"/>
      <c r="F88" s="1"/>
      <c r="G88" s="1"/>
    </row>
    <row r="89" spans="2:7" ht="15" customHeight="1" x14ac:dyDescent="0.3">
      <c r="B89" s="1"/>
      <c r="C89" s="1"/>
      <c r="D89" s="5"/>
      <c r="E89" s="8"/>
      <c r="F89" s="1"/>
      <c r="G89" s="1"/>
    </row>
    <row r="90" spans="2:7" ht="15" customHeight="1" x14ac:dyDescent="0.3">
      <c r="B90" s="1"/>
      <c r="C90" s="1"/>
      <c r="D90" s="5"/>
      <c r="E90" s="8"/>
      <c r="F90" s="1"/>
      <c r="G90" s="1"/>
    </row>
    <row r="91" spans="2:7" ht="15" customHeight="1" x14ac:dyDescent="0.3">
      <c r="B91" s="1"/>
      <c r="C91" s="1"/>
      <c r="D91" s="5"/>
      <c r="E91" s="8"/>
      <c r="F91" s="1"/>
      <c r="G91" s="1"/>
    </row>
    <row r="92" spans="2:7" ht="15" customHeight="1" x14ac:dyDescent="0.3">
      <c r="B92" s="1"/>
      <c r="C92" s="1"/>
      <c r="D92" s="5"/>
      <c r="E92" s="8"/>
      <c r="F92" s="1"/>
      <c r="G92" s="1"/>
    </row>
    <row r="93" spans="2:7" ht="15" customHeight="1" x14ac:dyDescent="0.3">
      <c r="B93" s="1"/>
      <c r="C93" s="1"/>
      <c r="D93" s="5"/>
      <c r="E93" s="8"/>
      <c r="F93" s="1"/>
      <c r="G93" s="1"/>
    </row>
    <row r="94" spans="2:7" ht="15" customHeight="1" x14ac:dyDescent="0.3">
      <c r="B94" s="1"/>
      <c r="C94" s="1"/>
      <c r="D94" s="5"/>
      <c r="E94" s="8"/>
      <c r="F94" s="1"/>
      <c r="G94" s="1"/>
    </row>
    <row r="95" spans="2:7" ht="15" customHeight="1" x14ac:dyDescent="0.3">
      <c r="B95" s="1"/>
      <c r="C95" s="1"/>
      <c r="D95" s="5"/>
      <c r="E95" s="8"/>
      <c r="F95" s="1"/>
      <c r="G95" s="1"/>
    </row>
    <row r="96" spans="2:7" ht="15" customHeight="1" x14ac:dyDescent="0.3">
      <c r="B96" s="1"/>
      <c r="C96" s="1"/>
      <c r="D96" s="5"/>
      <c r="E96" s="8"/>
      <c r="F96" s="1"/>
      <c r="G96" s="1"/>
    </row>
    <row r="97" spans="2:7" ht="15" customHeight="1" x14ac:dyDescent="0.3">
      <c r="B97" s="1"/>
      <c r="C97" s="1"/>
      <c r="D97" s="5"/>
      <c r="E97" s="8"/>
      <c r="F97" s="1"/>
      <c r="G97" s="1"/>
    </row>
    <row r="98" spans="2:7" ht="15" customHeight="1" x14ac:dyDescent="0.3">
      <c r="B98" s="1"/>
      <c r="C98" s="1"/>
      <c r="D98" s="5"/>
      <c r="E98" s="8"/>
      <c r="F98" s="1"/>
      <c r="G98" s="1"/>
    </row>
    <row r="99" spans="2:7" ht="15" customHeight="1" x14ac:dyDescent="0.3">
      <c r="B99" s="1"/>
      <c r="C99" s="1"/>
      <c r="D99" s="5"/>
      <c r="E99" s="8"/>
      <c r="F99" s="1"/>
      <c r="G99" s="1"/>
    </row>
    <row r="100" spans="2:7" ht="15" customHeight="1" x14ac:dyDescent="0.3">
      <c r="B100" s="1"/>
      <c r="C100" s="1"/>
      <c r="D100" s="5"/>
      <c r="E100" s="8"/>
      <c r="F100" s="1"/>
      <c r="G100" s="1"/>
    </row>
    <row r="101" spans="2:7" ht="15" customHeight="1" x14ac:dyDescent="0.3">
      <c r="B101" s="1"/>
      <c r="C101" s="1"/>
      <c r="D101" s="5"/>
      <c r="E101" s="8"/>
      <c r="F101" s="1"/>
      <c r="G101" s="1"/>
    </row>
    <row r="102" spans="2:7" ht="15" customHeight="1" x14ac:dyDescent="0.3">
      <c r="B102" s="1"/>
      <c r="C102" s="1"/>
      <c r="D102" s="5"/>
      <c r="E102" s="8"/>
      <c r="F102" s="1"/>
      <c r="G102" s="1"/>
    </row>
    <row r="103" spans="2:7" ht="15" customHeight="1" x14ac:dyDescent="0.3">
      <c r="B103" s="1"/>
      <c r="C103" s="1"/>
      <c r="D103" s="5"/>
      <c r="E103" s="8"/>
      <c r="F103" s="1"/>
      <c r="G103" s="1"/>
    </row>
  </sheetData>
  <autoFilter ref="B5:G5" xr:uid="{8023A36A-B158-4EF3-BCA6-C7C80806FCE0}"/>
  <mergeCells count="2">
    <mergeCell ref="B4:E4"/>
    <mergeCell ref="F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02D5-17B2-42AF-97AB-F8FBC193A69E}">
  <dimension ref="B1:F13"/>
  <sheetViews>
    <sheetView showGridLines="0" tabSelected="1" zoomScale="102" zoomScaleNormal="102" workbookViewId="0">
      <pane ySplit="5" topLeftCell="A6" activePane="bottomLeft" state="frozen"/>
      <selection pane="bottomLeft" activeCell="E15" sqref="E15"/>
    </sheetView>
  </sheetViews>
  <sheetFormatPr defaultColWidth="15.109375" defaultRowHeight="15" customHeight="1" x14ac:dyDescent="0.3"/>
  <cols>
    <col min="1" max="1" width="2" style="2" customWidth="1"/>
    <col min="2" max="2" width="12.77734375" style="2" customWidth="1"/>
    <col min="3" max="16384" width="15.109375" style="2"/>
  </cols>
  <sheetData>
    <row r="1" spans="2:6" ht="15.6" x14ac:dyDescent="0.3">
      <c r="B1" s="12" t="s">
        <v>20</v>
      </c>
    </row>
    <row r="2" spans="2:6" ht="11.4" x14ac:dyDescent="0.3"/>
    <row r="3" spans="2:6" ht="11.4" x14ac:dyDescent="0.3"/>
    <row r="4" spans="2:6" ht="15" customHeight="1" x14ac:dyDescent="0.3">
      <c r="B4" s="6"/>
      <c r="C4" s="6"/>
    </row>
    <row r="5" spans="2:6" ht="13.8" customHeight="1" thickBot="1" x14ac:dyDescent="0.35">
      <c r="B5" s="7" t="s">
        <v>4</v>
      </c>
      <c r="C5" s="7" t="s">
        <v>5</v>
      </c>
    </row>
    <row r="6" spans="2:6" ht="15" customHeight="1" x14ac:dyDescent="0.3">
      <c r="B6" s="8">
        <v>2654</v>
      </c>
      <c r="C6" s="8">
        <v>2177</v>
      </c>
    </row>
    <row r="7" spans="2:6" ht="15" customHeight="1" x14ac:dyDescent="0.3">
      <c r="B7" s="8">
        <v>2585</v>
      </c>
      <c r="C7" s="8">
        <v>2495</v>
      </c>
    </row>
    <row r="8" spans="2:6" ht="15" customHeight="1" x14ac:dyDescent="0.3">
      <c r="B8" s="8">
        <v>3108</v>
      </c>
      <c r="C8" s="8">
        <v>3550</v>
      </c>
      <c r="E8" s="2" t="s">
        <v>27</v>
      </c>
      <c r="F8" s="2">
        <f>_xlfn.COVARIANCE.S(B6:B13,C6:C13)</f>
        <v>5010.7321428571431</v>
      </c>
    </row>
    <row r="9" spans="2:6" ht="15" customHeight="1" x14ac:dyDescent="0.3">
      <c r="B9" s="8">
        <v>2617</v>
      </c>
      <c r="C9" s="8">
        <v>2388</v>
      </c>
      <c r="E9" s="2" t="s">
        <v>28</v>
      </c>
      <c r="F9" s="2">
        <f>CORREL(B6:B13,C6:C13)</f>
        <v>2.5861302413638525E-2</v>
      </c>
    </row>
    <row r="10" spans="2:6" ht="15" customHeight="1" x14ac:dyDescent="0.3">
      <c r="B10" s="8">
        <v>2938</v>
      </c>
      <c r="C10" s="8">
        <v>2208</v>
      </c>
    </row>
    <row r="11" spans="2:6" ht="15" customHeight="1" x14ac:dyDescent="0.3">
      <c r="B11" s="8">
        <v>2520</v>
      </c>
      <c r="C11" s="8">
        <v>3575</v>
      </c>
    </row>
    <row r="12" spans="2:6" ht="15" customHeight="1" x14ac:dyDescent="0.3">
      <c r="B12" s="8">
        <v>2964</v>
      </c>
      <c r="C12" s="8">
        <v>3904</v>
      </c>
    </row>
    <row r="13" spans="2:6" ht="15" customHeight="1" x14ac:dyDescent="0.3">
      <c r="B13" s="8">
        <v>2461</v>
      </c>
      <c r="C13" s="8">
        <v>4128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Jefferson Property</vt:lpstr>
      <vt:lpstr>Rental Price Colorado</vt:lpstr>
      <vt:lpstr>Houses Rental Price</vt:lpstr>
      <vt:lpstr>California vs Nevada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Kitov</dc:creator>
  <cp:lastModifiedBy>Segun Longe</cp:lastModifiedBy>
  <dcterms:created xsi:type="dcterms:W3CDTF">2017-06-08T15:05:34Z</dcterms:created>
  <dcterms:modified xsi:type="dcterms:W3CDTF">2023-06-15T18:19:57Z</dcterms:modified>
</cp:coreProperties>
</file>