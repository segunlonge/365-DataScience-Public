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A58F61F-911F-4F8D-A39C-1B80A076E91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I, dep samp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1" l="1"/>
  <c r="L8" i="1"/>
  <c r="H5" i="1"/>
  <c r="E14" i="1" l="1"/>
  <c r="E6" i="1"/>
  <c r="E10" i="1"/>
  <c r="E12" i="1"/>
  <c r="E7" i="1"/>
  <c r="E8" i="1"/>
  <c r="E9" i="1"/>
  <c r="E11" i="1"/>
  <c r="E13" i="1"/>
  <c r="E5" i="1"/>
  <c r="H6" i="1" l="1"/>
</calcChain>
</file>

<file path=xl/sharedStrings.xml><?xml version="1.0" encoding="utf-8"?>
<sst xmlns="http://schemas.openxmlformats.org/spreadsheetml/2006/main" count="19" uniqueCount="19">
  <si>
    <t>CI low</t>
  </si>
  <si>
    <t>CI high</t>
  </si>
  <si>
    <t>Confidence interval for difference of two means, dependent samples</t>
  </si>
  <si>
    <t>St. deviation</t>
  </si>
  <si>
    <t>Mean</t>
  </si>
  <si>
    <t>Before</t>
  </si>
  <si>
    <t>After</t>
  </si>
  <si>
    <t>Difference</t>
  </si>
  <si>
    <t>Patient</t>
  </si>
  <si>
    <t>Magnesium example</t>
  </si>
  <si>
    <t>T</t>
  </si>
  <si>
    <t>Confidence intervals</t>
  </si>
  <si>
    <t>*CI low stands for lower bound of the confidence interval</t>
  </si>
  <si>
    <t xml:space="preserve"> CI high stands for higher bound of the confidence interval</t>
  </si>
  <si>
    <t>The percentages indicate the confidence</t>
  </si>
  <si>
    <t>Т stands for the fact that we are using the t-statistic</t>
  </si>
  <si>
    <r>
      <t>95% CI, t</t>
    </r>
    <r>
      <rPr>
        <b/>
        <vertAlign val="subscript"/>
        <sz val="9"/>
        <color rgb="FF002060"/>
        <rFont val="Arial"/>
        <family val="2"/>
      </rPr>
      <t>9,0.025</t>
    </r>
  </si>
  <si>
    <t xml:space="preserve">Note that this is not a common way to summarize the data. </t>
  </si>
  <si>
    <t>It is just a clear and useful one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</si>
</sst>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2" fontId="1" fillId="2" borderId="0" xfId="0" applyNumberFormat="1" applyFont="1" applyFill="1"/>
    <xf numFmtId="2" fontId="1" fillId="2" borderId="1" xfId="0" applyNumberFormat="1" applyFont="1" applyFill="1" applyBorder="1"/>
    <xf numFmtId="9" fontId="3" fillId="2" borderId="0" xfId="0" applyNumberFormat="1" applyFont="1" applyFill="1"/>
    <xf numFmtId="0" fontId="3" fillId="2" borderId="2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2" fontId="1" fillId="2" borderId="5" xfId="0" applyNumberFormat="1" applyFont="1" applyFill="1" applyBorder="1"/>
    <xf numFmtId="2" fontId="1" fillId="2" borderId="3" xfId="0" applyNumberFormat="1" applyFont="1" applyFill="1" applyBorder="1"/>
    <xf numFmtId="0" fontId="1" fillId="2" borderId="0" xfId="0" applyFont="1" applyFill="1" applyBorder="1"/>
    <xf numFmtId="0" fontId="3" fillId="2" borderId="0" xfId="0" applyFont="1" applyFill="1" applyBorder="1"/>
    <xf numFmtId="9" fontId="3" fillId="2" borderId="0" xfId="0" applyNumberFormat="1" applyFont="1" applyFill="1" applyBorder="1"/>
    <xf numFmtId="2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44</xdr:row>
      <xdr:rowOff>124691</xdr:rowOff>
    </xdr:from>
    <xdr:to>
      <xdr:col>9</xdr:col>
      <xdr:colOff>86172</xdr:colOff>
      <xdr:row>49</xdr:row>
      <xdr:rowOff>20782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62F75-5F2A-4474-8969-41B39C3E9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47" y="6664036"/>
          <a:ext cx="4242534" cy="62345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41561</xdr:colOff>
      <xdr:row>15</xdr:row>
      <xdr:rowOff>138545</xdr:rowOff>
    </xdr:from>
    <xdr:to>
      <xdr:col>15</xdr:col>
      <xdr:colOff>512617</xdr:colOff>
      <xdr:row>38</xdr:row>
      <xdr:rowOff>27709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2EDDA6-3976-42E3-93FA-F5AA41E6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61" y="2459181"/>
          <a:ext cx="7834747" cy="323503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1</xdr:colOff>
      <xdr:row>50</xdr:row>
      <xdr:rowOff>20782</xdr:rowOff>
    </xdr:from>
    <xdr:to>
      <xdr:col>6</xdr:col>
      <xdr:colOff>591896</xdr:colOff>
      <xdr:row>57</xdr:row>
      <xdr:rowOff>59616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10B57B-3876-4771-BADD-5FF487C60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46" y="7432964"/>
          <a:ext cx="3085714" cy="105714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131617</xdr:colOff>
      <xdr:row>58</xdr:row>
      <xdr:rowOff>27708</xdr:rowOff>
    </xdr:from>
    <xdr:to>
      <xdr:col>5</xdr:col>
      <xdr:colOff>401781</xdr:colOff>
      <xdr:row>62</xdr:row>
      <xdr:rowOff>105903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39BC16-21A6-446A-A887-A147073DC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617" y="8603672"/>
          <a:ext cx="2292928" cy="66008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124691</xdr:colOff>
      <xdr:row>63</xdr:row>
      <xdr:rowOff>110836</xdr:rowOff>
    </xdr:from>
    <xdr:to>
      <xdr:col>5</xdr:col>
      <xdr:colOff>428082</xdr:colOff>
      <xdr:row>71</xdr:row>
      <xdr:rowOff>27709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3A60ED-93EC-4E3A-9256-5E0361831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691" y="9414163"/>
          <a:ext cx="2326155" cy="108065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103909</xdr:colOff>
      <xdr:row>72</xdr:row>
      <xdr:rowOff>13855</xdr:rowOff>
    </xdr:from>
    <xdr:to>
      <xdr:col>17</xdr:col>
      <xdr:colOff>178161</xdr:colOff>
      <xdr:row>74</xdr:row>
      <xdr:rowOff>84815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A89F296-3D74-4CA0-86EC-FC3CDAAD4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09" y="10626437"/>
          <a:ext cx="8657143" cy="36190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5</xdr:col>
      <xdr:colOff>90054</xdr:colOff>
      <xdr:row>7</xdr:row>
      <xdr:rowOff>110837</xdr:rowOff>
    </xdr:from>
    <xdr:to>
      <xdr:col>10</xdr:col>
      <xdr:colOff>173182</xdr:colOff>
      <xdr:row>21</xdr:row>
      <xdr:rowOff>110836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26CF000-7448-41DA-96D4-A25637BEF16D}"/>
            </a:ext>
          </a:extLst>
        </xdr:cNvPr>
        <xdr:cNvCxnSpPr/>
      </xdr:nvCxnSpPr>
      <xdr:spPr>
        <a:xfrm flipH="1">
          <a:off x="2112818" y="1233055"/>
          <a:ext cx="2777837" cy="20712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270164</xdr:colOff>
      <xdr:row>7</xdr:row>
      <xdr:rowOff>131618</xdr:rowOff>
    </xdr:from>
    <xdr:to>
      <xdr:col>11</xdr:col>
      <xdr:colOff>304800</xdr:colOff>
      <xdr:row>22</xdr:row>
      <xdr:rowOff>69273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5551411-4056-4987-8DDF-54395E3FAE48}"/>
            </a:ext>
          </a:extLst>
        </xdr:cNvPr>
        <xdr:cNvCxnSpPr/>
      </xdr:nvCxnSpPr>
      <xdr:spPr>
        <a:xfrm flipH="1">
          <a:off x="2292928" y="1253836"/>
          <a:ext cx="3110345" cy="21543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15"/>
  <sheetViews>
    <sheetView tabSelected="1" zoomScale="110" zoomScaleNormal="110" workbookViewId="0">
      <selection activeCell="S17" sqref="S17"/>
    </sheetView>
  </sheetViews>
  <sheetFormatPr defaultRowHeight="11.4" x14ac:dyDescent="0.2"/>
  <cols>
    <col min="1" max="1" width="2" style="1" customWidth="1"/>
    <col min="2" max="3" width="6.5546875" style="1" customWidth="1"/>
    <col min="4" max="4" width="4.88671875" style="1" bestFit="1" customWidth="1"/>
    <col min="5" max="5" width="9.44140625" style="1" bestFit="1" customWidth="1"/>
    <col min="6" max="6" width="8.88671875" style="1"/>
    <col min="7" max="7" width="11.109375" style="1" bestFit="1" customWidth="1"/>
    <col min="8" max="8" width="4.21875" style="1" bestFit="1" customWidth="1"/>
    <col min="9" max="9" width="8.88671875" style="1"/>
    <col min="10" max="10" width="6.109375" style="1" customWidth="1"/>
    <col min="11" max="11" width="5.5546875" style="1" bestFit="1" customWidth="1"/>
    <col min="12" max="12" width="6.33203125" style="1" bestFit="1" customWidth="1"/>
    <col min="13" max="16384" width="8.88671875" style="1"/>
  </cols>
  <sheetData>
    <row r="1" spans="2:14" ht="15.6" x14ac:dyDescent="0.3">
      <c r="B1" s="2" t="s">
        <v>2</v>
      </c>
      <c r="C1" s="2"/>
    </row>
    <row r="2" spans="2:14" ht="12" x14ac:dyDescent="0.25">
      <c r="B2" s="3" t="s">
        <v>9</v>
      </c>
    </row>
    <row r="4" spans="2:14" ht="12.6" thickBot="1" x14ac:dyDescent="0.3">
      <c r="B4" s="8" t="s">
        <v>8</v>
      </c>
      <c r="C4" s="8" t="s">
        <v>5</v>
      </c>
      <c r="D4" s="9" t="s">
        <v>6</v>
      </c>
      <c r="E4" s="8" t="s">
        <v>7</v>
      </c>
    </row>
    <row r="5" spans="2:14" ht="12" x14ac:dyDescent="0.25">
      <c r="B5" s="1">
        <v>1</v>
      </c>
      <c r="C5" s="5">
        <v>2</v>
      </c>
      <c r="D5" s="10">
        <v>1.7</v>
      </c>
      <c r="E5" s="5">
        <f t="shared" ref="E5:E14" si="0">D5-C5</f>
        <v>-0.30000000000000004</v>
      </c>
      <c r="G5" s="3" t="s">
        <v>4</v>
      </c>
      <c r="H5" s="5">
        <f>AVERAGE(E5:E14)</f>
        <v>0.32999999999999996</v>
      </c>
      <c r="J5" s="3" t="s">
        <v>11</v>
      </c>
    </row>
    <row r="6" spans="2:14" ht="12" x14ac:dyDescent="0.25">
      <c r="B6" s="1">
        <v>2</v>
      </c>
      <c r="C6" s="5">
        <v>1.4</v>
      </c>
      <c r="D6" s="10">
        <v>1.7</v>
      </c>
      <c r="E6" s="5">
        <f t="shared" si="0"/>
        <v>0.30000000000000004</v>
      </c>
      <c r="G6" s="3" t="s">
        <v>3</v>
      </c>
      <c r="H6" s="5">
        <f>_xlfn.STDEV.S(E5:E14)</f>
        <v>0.45472824607426554</v>
      </c>
    </row>
    <row r="7" spans="2:14" ht="12.6" thickBot="1" x14ac:dyDescent="0.3">
      <c r="B7" s="1">
        <v>3</v>
      </c>
      <c r="C7" s="5">
        <v>1.3</v>
      </c>
      <c r="D7" s="10">
        <v>1.8</v>
      </c>
      <c r="E7" s="5">
        <f t="shared" si="0"/>
        <v>0.5</v>
      </c>
      <c r="J7" s="8" t="s">
        <v>10</v>
      </c>
      <c r="K7" s="8" t="s">
        <v>0</v>
      </c>
      <c r="L7" s="8" t="s">
        <v>1</v>
      </c>
    </row>
    <row r="8" spans="2:14" ht="13.2" x14ac:dyDescent="0.3">
      <c r="B8" s="1">
        <v>4</v>
      </c>
      <c r="C8" s="5">
        <v>1.1000000000000001</v>
      </c>
      <c r="D8" s="10">
        <v>1.3</v>
      </c>
      <c r="E8" s="5">
        <f t="shared" si="0"/>
        <v>0.19999999999999996</v>
      </c>
      <c r="G8" s="3" t="s">
        <v>16</v>
      </c>
      <c r="H8" s="5">
        <v>2.2599999999999998</v>
      </c>
      <c r="J8" s="7">
        <v>0.95</v>
      </c>
      <c r="K8" s="5">
        <f>$H$5-$H$6*H8/SQRT(10)</f>
        <v>5.0172038741469471E-3</v>
      </c>
      <c r="L8" s="5">
        <f>$H$5+$H$6*H8/SQRT(10)</f>
        <v>0.65498279612585297</v>
      </c>
    </row>
    <row r="9" spans="2:14" ht="12" x14ac:dyDescent="0.25">
      <c r="B9" s="1">
        <v>5</v>
      </c>
      <c r="C9" s="5">
        <v>1.8</v>
      </c>
      <c r="D9" s="10">
        <v>1.7</v>
      </c>
      <c r="E9" s="5">
        <f t="shared" si="0"/>
        <v>-0.10000000000000009</v>
      </c>
      <c r="G9" s="13"/>
      <c r="H9" s="12"/>
      <c r="I9" s="12"/>
      <c r="J9" s="14"/>
      <c r="K9" s="15"/>
      <c r="L9" s="15"/>
      <c r="M9" s="12"/>
    </row>
    <row r="10" spans="2:14" ht="12" x14ac:dyDescent="0.25">
      <c r="B10" s="1">
        <v>6</v>
      </c>
      <c r="C10" s="5">
        <v>1.6</v>
      </c>
      <c r="D10" s="10">
        <v>1.5</v>
      </c>
      <c r="E10" s="5">
        <f t="shared" si="0"/>
        <v>-0.10000000000000009</v>
      </c>
      <c r="J10" s="1" t="s">
        <v>12</v>
      </c>
      <c r="K10" s="12"/>
      <c r="L10" s="13"/>
      <c r="M10" s="12"/>
      <c r="N10" s="12"/>
    </row>
    <row r="11" spans="2:14" x14ac:dyDescent="0.2">
      <c r="B11" s="1">
        <v>7</v>
      </c>
      <c r="C11" s="5">
        <v>1.5</v>
      </c>
      <c r="D11" s="10">
        <v>1.6</v>
      </c>
      <c r="E11" s="5">
        <f t="shared" si="0"/>
        <v>0.10000000000000009</v>
      </c>
      <c r="J11" s="1" t="s">
        <v>13</v>
      </c>
      <c r="K11" s="12"/>
      <c r="L11" s="12"/>
      <c r="M11" s="12"/>
      <c r="N11" s="12"/>
    </row>
    <row r="12" spans="2:14" x14ac:dyDescent="0.2">
      <c r="B12" s="1">
        <v>8</v>
      </c>
      <c r="C12" s="5">
        <v>0.7</v>
      </c>
      <c r="D12" s="10">
        <v>1.7</v>
      </c>
      <c r="E12" s="5">
        <f t="shared" si="0"/>
        <v>1</v>
      </c>
      <c r="J12" s="1" t="s">
        <v>14</v>
      </c>
      <c r="K12" s="12"/>
      <c r="L12" s="12"/>
      <c r="M12" s="12"/>
      <c r="N12" s="12"/>
    </row>
    <row r="13" spans="2:14" x14ac:dyDescent="0.2">
      <c r="B13" s="1">
        <v>9</v>
      </c>
      <c r="C13" s="5">
        <v>0.9</v>
      </c>
      <c r="D13" s="10">
        <v>1.7000000000000002</v>
      </c>
      <c r="E13" s="5">
        <f t="shared" si="0"/>
        <v>0.80000000000000016</v>
      </c>
      <c r="J13" s="1" t="s">
        <v>15</v>
      </c>
      <c r="K13" s="12"/>
      <c r="L13" s="12"/>
      <c r="M13" s="12"/>
      <c r="N13" s="12"/>
    </row>
    <row r="14" spans="2:14" x14ac:dyDescent="0.2">
      <c r="B14" s="4">
        <v>10</v>
      </c>
      <c r="C14" s="6">
        <v>1.5</v>
      </c>
      <c r="D14" s="11">
        <v>2.4</v>
      </c>
      <c r="E14" s="6">
        <f t="shared" si="0"/>
        <v>0.89999999999999991</v>
      </c>
      <c r="J14" s="1" t="s">
        <v>17</v>
      </c>
      <c r="K14" s="12"/>
      <c r="L14" s="12"/>
      <c r="M14" s="12"/>
      <c r="N14" s="12"/>
    </row>
    <row r="15" spans="2:14" x14ac:dyDescent="0.2">
      <c r="J15" s="12" t="s">
        <v>18</v>
      </c>
      <c r="K15" s="12"/>
      <c r="L15" s="12"/>
      <c r="M15" s="12"/>
      <c r="N15" s="12"/>
    </row>
  </sheetData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CI, dep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2026-07-02T13:49:24Z</dcterms:modified>
</cp:coreProperties>
</file>