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F95AFC16-C27E-4CB3-AB40-417167287D7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z-table" sheetId="3" r:id="rId1"/>
    <sheet name="CI, indep, var kw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C24" i="1"/>
  <c r="C16" i="1" l="1"/>
  <c r="B17" i="1" l="1"/>
  <c r="E11" i="1" l="1"/>
  <c r="E12" i="1"/>
</calcChain>
</file>

<file path=xl/sharedStrings.xml><?xml version="1.0" encoding="utf-8"?>
<sst xmlns="http://schemas.openxmlformats.org/spreadsheetml/2006/main" count="30" uniqueCount="27">
  <si>
    <t>Engineering</t>
  </si>
  <si>
    <t>Management</t>
  </si>
  <si>
    <t>University example</t>
  </si>
  <si>
    <t>Size</t>
  </si>
  <si>
    <t>Population std</t>
  </si>
  <si>
    <t>Difference</t>
  </si>
  <si>
    <t>?</t>
  </si>
  <si>
    <t>Confidence interval for the difference of two means. Independent samples, variance known</t>
  </si>
  <si>
    <t>Sample mean</t>
  </si>
  <si>
    <t>Background</t>
  </si>
  <si>
    <t>You have the dataset from the lesson.</t>
  </si>
  <si>
    <t>Task 1</t>
  </si>
  <si>
    <t>Calculate the 99% confidence interval</t>
  </si>
  <si>
    <t>Task 2</t>
  </si>
  <si>
    <t>Compare it to the 95% confidence interval from the lesson</t>
  </si>
  <si>
    <t>Standard normal distribution</t>
  </si>
  <si>
    <t>z-table</t>
  </si>
  <si>
    <t>The table summarizes the standard normal distribution critical values and the corresponding (1-α)</t>
  </si>
  <si>
    <t>z</t>
  </si>
  <si>
    <t>99% CI@z=0.005</t>
  </si>
  <si>
    <t>Look up in z-table</t>
  </si>
  <si>
    <t>Confidence Interval</t>
  </si>
  <si>
    <t>Z</t>
  </si>
  <si>
    <t>CI low</t>
  </si>
  <si>
    <t>CI high</t>
  </si>
  <si>
    <t>Confidence intervals</t>
  </si>
  <si>
    <t>A higher confidence leads to a broader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</si>
</sst>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i/>
      <sz val="9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medium">
        <color rgb="FF002060"/>
      </right>
      <top/>
      <bottom/>
      <diagonal/>
    </border>
    <border>
      <left/>
      <right style="medium">
        <color rgb="FF002060"/>
      </right>
      <top/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2" fillId="2" borderId="0" xfId="0" applyFont="1" applyFill="1"/>
    <xf numFmtId="9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right"/>
    </xf>
    <xf numFmtId="2" fontId="2" fillId="2" borderId="0" xfId="0" applyNumberFormat="1" applyFont="1" applyFill="1"/>
    <xf numFmtId="0" fontId="1" fillId="2" borderId="1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Border="1"/>
    <xf numFmtId="0" fontId="2" fillId="2" borderId="0" xfId="0" applyFont="1" applyFill="1" applyBorder="1"/>
    <xf numFmtId="0" fontId="1" fillId="2" borderId="0" xfId="0" applyFont="1" applyFill="1" applyBorder="1" applyAlignment="1">
      <alignment horizontal="right"/>
    </xf>
    <xf numFmtId="9" fontId="1" fillId="2" borderId="0" xfId="0" applyNumberFormat="1" applyFont="1" applyFill="1" applyBorder="1"/>
    <xf numFmtId="2" fontId="2" fillId="2" borderId="0" xfId="0" applyNumberFormat="1" applyFont="1" applyFill="1" applyBorder="1"/>
    <xf numFmtId="0" fontId="1" fillId="2" borderId="2" xfId="0" applyFont="1" applyFill="1" applyBorder="1"/>
    <xf numFmtId="0" fontId="4" fillId="2" borderId="0" xfId="0" applyFont="1" applyFill="1"/>
    <xf numFmtId="0" fontId="1" fillId="2" borderId="3" xfId="0" applyFont="1" applyFill="1" applyBorder="1" applyAlignment="1">
      <alignment horizontal="right"/>
    </xf>
    <xf numFmtId="164" fontId="1" fillId="2" borderId="4" xfId="0" applyNumberFormat="1" applyFont="1" applyFill="1" applyBorder="1"/>
    <xf numFmtId="165" fontId="2" fillId="2" borderId="0" xfId="0" applyNumberFormat="1" applyFont="1" applyFill="1"/>
    <xf numFmtId="164" fontId="1" fillId="2" borderId="5" xfId="0" applyNumberFormat="1" applyFont="1" applyFill="1" applyBorder="1"/>
    <xf numFmtId="165" fontId="2" fillId="2" borderId="1" xfId="0" applyNumberFormat="1" applyFont="1" applyFill="1" applyBorder="1"/>
    <xf numFmtId="164" fontId="1" fillId="2" borderId="0" xfId="0" applyNumberFormat="1" applyFont="1" applyFill="1"/>
    <xf numFmtId="0" fontId="2" fillId="2" borderId="6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9" fontId="2" fillId="2" borderId="9" xfId="0" applyNumberFormat="1" applyFont="1" applyFill="1" applyBorder="1"/>
    <xf numFmtId="2" fontId="2" fillId="2" borderId="10" xfId="0" applyNumberFormat="1" applyFont="1" applyFill="1" applyBorder="1"/>
    <xf numFmtId="2" fontId="2" fillId="2" borderId="11" xfId="0" applyNumberFormat="1" applyFont="1" applyFill="1" applyBorder="1"/>
    <xf numFmtId="9" fontId="1" fillId="2" borderId="0" xfId="0" applyNumberFormat="1" applyFont="1" applyFill="1"/>
    <xf numFmtId="0" fontId="2" fillId="2" borderId="0" xfId="0" applyFont="1" applyFill="1" applyAlignment="1">
      <alignment horizontal="center"/>
    </xf>
    <xf numFmtId="164" fontId="1" fillId="3" borderId="4" xfId="0" applyNumberFormat="1" applyFont="1" applyFill="1" applyBorder="1"/>
    <xf numFmtId="165" fontId="2" fillId="3" borderId="0" xfId="0" applyNumberFormat="1" applyFont="1" applyFill="1"/>
    <xf numFmtId="0" fontId="1" fillId="3" borderId="2" xfId="0" applyFont="1" applyFill="1" applyBorder="1"/>
    <xf numFmtId="165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367A-D0C4-49C1-8736-9D914424E6C6}">
  <dimension ref="B1:L41"/>
  <sheetViews>
    <sheetView tabSelected="1" zoomScale="110" zoomScaleNormal="110" workbookViewId="0">
      <selection activeCell="Q24" sqref="Q24"/>
    </sheetView>
  </sheetViews>
  <sheetFormatPr defaultRowHeight="11.4" x14ac:dyDescent="0.2"/>
  <cols>
    <col min="1" max="1" width="2" style="2" customWidth="1"/>
    <col min="2" max="2" width="6.5546875" style="2" customWidth="1"/>
    <col min="3" max="12" width="7.109375" style="2" bestFit="1" customWidth="1"/>
    <col min="13" max="16384" width="8.88671875" style="2"/>
  </cols>
  <sheetData>
    <row r="1" spans="2:12" ht="15.6" x14ac:dyDescent="0.3">
      <c r="B1" s="4" t="s">
        <v>15</v>
      </c>
    </row>
    <row r="2" spans="2:12" x14ac:dyDescent="0.2">
      <c r="B2" s="19" t="s">
        <v>16</v>
      </c>
    </row>
    <row r="3" spans="2:12" ht="12" x14ac:dyDescent="0.25">
      <c r="B3" s="1"/>
    </row>
    <row r="4" spans="2:12" ht="12" x14ac:dyDescent="0.25">
      <c r="B4" s="1" t="s">
        <v>17</v>
      </c>
    </row>
    <row r="5" spans="2:12" ht="12" x14ac:dyDescent="0.25">
      <c r="B5" s="1"/>
    </row>
    <row r="6" spans="2:12" ht="12.6" thickBot="1" x14ac:dyDescent="0.3">
      <c r="B6" s="20" t="s">
        <v>18</v>
      </c>
      <c r="C6" s="18">
        <v>0</v>
      </c>
      <c r="D6" s="18">
        <v>0.01</v>
      </c>
      <c r="E6" s="18">
        <v>0.02</v>
      </c>
      <c r="F6" s="18">
        <v>0.03</v>
      </c>
      <c r="G6" s="18">
        <v>0.04</v>
      </c>
      <c r="H6" s="18">
        <v>0.05</v>
      </c>
      <c r="I6" s="18">
        <v>0.06</v>
      </c>
      <c r="J6" s="18">
        <v>7.0000000000000007E-2</v>
      </c>
      <c r="K6" s="36">
        <v>0.08</v>
      </c>
      <c r="L6" s="18">
        <v>0.09</v>
      </c>
    </row>
    <row r="7" spans="2:12" ht="12" x14ac:dyDescent="0.25">
      <c r="B7" s="21">
        <v>0</v>
      </c>
      <c r="C7" s="22">
        <v>0.5</v>
      </c>
      <c r="D7" s="22">
        <v>0.504</v>
      </c>
      <c r="E7" s="22">
        <v>0.50800000000000001</v>
      </c>
      <c r="F7" s="22">
        <v>0.51200000000000001</v>
      </c>
      <c r="G7" s="22">
        <v>0.51600000000000001</v>
      </c>
      <c r="H7" s="22">
        <v>0.51990000000000003</v>
      </c>
      <c r="I7" s="22">
        <v>0.52390000000000003</v>
      </c>
      <c r="J7" s="22">
        <v>0.52790000000000004</v>
      </c>
      <c r="K7" s="35">
        <v>0.53190000000000004</v>
      </c>
      <c r="L7" s="22">
        <v>0.53590000000000004</v>
      </c>
    </row>
    <row r="8" spans="2:12" ht="12" x14ac:dyDescent="0.25">
      <c r="B8" s="21">
        <v>0.1</v>
      </c>
      <c r="C8" s="22">
        <v>0.53979999999999995</v>
      </c>
      <c r="D8" s="22">
        <v>0.54379999999999995</v>
      </c>
      <c r="E8" s="22">
        <v>0.54779999999999995</v>
      </c>
      <c r="F8" s="22">
        <v>0.55169999999999997</v>
      </c>
      <c r="G8" s="22">
        <v>0.55569999999999997</v>
      </c>
      <c r="H8" s="22">
        <v>0.55959999999999999</v>
      </c>
      <c r="I8" s="22">
        <v>0.56359999999999999</v>
      </c>
      <c r="J8" s="22">
        <v>0.5675</v>
      </c>
      <c r="K8" s="35">
        <v>0.57140000000000002</v>
      </c>
      <c r="L8" s="22">
        <v>0.57530000000000003</v>
      </c>
    </row>
    <row r="9" spans="2:12" ht="12" x14ac:dyDescent="0.25">
      <c r="B9" s="21">
        <v>0.2</v>
      </c>
      <c r="C9" s="22">
        <v>0.57930000000000004</v>
      </c>
      <c r="D9" s="22">
        <v>0.58320000000000005</v>
      </c>
      <c r="E9" s="22">
        <v>0.58709999999999996</v>
      </c>
      <c r="F9" s="22">
        <v>0.59099999999999997</v>
      </c>
      <c r="G9" s="22">
        <v>0.5948</v>
      </c>
      <c r="H9" s="22">
        <v>0.59870000000000001</v>
      </c>
      <c r="I9" s="22">
        <v>0.60260000000000002</v>
      </c>
      <c r="J9" s="22">
        <v>0.60640000000000005</v>
      </c>
      <c r="K9" s="35">
        <v>0.61029999999999995</v>
      </c>
      <c r="L9" s="22">
        <v>0.61409999999999998</v>
      </c>
    </row>
    <row r="10" spans="2:12" ht="12" x14ac:dyDescent="0.25">
      <c r="B10" s="21">
        <v>0.3</v>
      </c>
      <c r="C10" s="22">
        <v>0.6179</v>
      </c>
      <c r="D10" s="22">
        <v>0.62170000000000003</v>
      </c>
      <c r="E10" s="22">
        <v>0.62549999999999994</v>
      </c>
      <c r="F10" s="22">
        <v>0.62929999999999997</v>
      </c>
      <c r="G10" s="22">
        <v>0.6331</v>
      </c>
      <c r="H10" s="22">
        <v>0.63680000000000003</v>
      </c>
      <c r="I10" s="22">
        <v>0.64059999999999995</v>
      </c>
      <c r="J10" s="22">
        <v>0.64429999999999998</v>
      </c>
      <c r="K10" s="35">
        <v>0.64800000000000002</v>
      </c>
      <c r="L10" s="22">
        <v>0.65169999999999995</v>
      </c>
    </row>
    <row r="11" spans="2:12" ht="12" x14ac:dyDescent="0.25">
      <c r="B11" s="21">
        <v>0.4</v>
      </c>
      <c r="C11" s="22">
        <v>0.65539999999999998</v>
      </c>
      <c r="D11" s="22">
        <v>0.65910000000000002</v>
      </c>
      <c r="E11" s="22">
        <v>0.66279999999999994</v>
      </c>
      <c r="F11" s="22">
        <v>0.66639999999999999</v>
      </c>
      <c r="G11" s="22">
        <v>0.67</v>
      </c>
      <c r="H11" s="22">
        <v>0.67359999999999998</v>
      </c>
      <c r="I11" s="22">
        <v>0.67720000000000002</v>
      </c>
      <c r="J11" s="22">
        <v>0.68079999999999996</v>
      </c>
      <c r="K11" s="35">
        <v>0.68440000000000001</v>
      </c>
      <c r="L11" s="22">
        <v>0.68789999999999996</v>
      </c>
    </row>
    <row r="12" spans="2:12" ht="12" x14ac:dyDescent="0.25">
      <c r="B12" s="21">
        <v>0.5</v>
      </c>
      <c r="C12" s="22">
        <v>0.6915</v>
      </c>
      <c r="D12" s="22">
        <v>0.69499999999999995</v>
      </c>
      <c r="E12" s="22">
        <v>0.69850000000000001</v>
      </c>
      <c r="F12" s="22">
        <v>0.70189999999999997</v>
      </c>
      <c r="G12" s="22">
        <v>0.70540000000000003</v>
      </c>
      <c r="H12" s="22">
        <v>0.70879999999999999</v>
      </c>
      <c r="I12" s="22">
        <v>0.71230000000000004</v>
      </c>
      <c r="J12" s="22">
        <v>0.7157</v>
      </c>
      <c r="K12" s="35">
        <v>0.71899999999999997</v>
      </c>
      <c r="L12" s="22">
        <v>0.72240000000000004</v>
      </c>
    </row>
    <row r="13" spans="2:12" ht="12" x14ac:dyDescent="0.25">
      <c r="B13" s="21">
        <v>0.6</v>
      </c>
      <c r="C13" s="22">
        <v>0.72570000000000001</v>
      </c>
      <c r="D13" s="22">
        <v>0.72909999999999997</v>
      </c>
      <c r="E13" s="22">
        <v>0.73240000000000005</v>
      </c>
      <c r="F13" s="22">
        <v>0.73570000000000002</v>
      </c>
      <c r="G13" s="22">
        <v>0.7389</v>
      </c>
      <c r="H13" s="22">
        <v>0.74219999999999997</v>
      </c>
      <c r="I13" s="22">
        <v>0.74539999999999995</v>
      </c>
      <c r="J13" s="22">
        <v>0.74860000000000004</v>
      </c>
      <c r="K13" s="35">
        <v>0.75170000000000003</v>
      </c>
      <c r="L13" s="22">
        <v>0.75490000000000002</v>
      </c>
    </row>
    <row r="14" spans="2:12" ht="12" x14ac:dyDescent="0.25">
      <c r="B14" s="21">
        <v>0.7</v>
      </c>
      <c r="C14" s="22">
        <v>0.75800000000000001</v>
      </c>
      <c r="D14" s="22">
        <v>0.7611</v>
      </c>
      <c r="E14" s="22">
        <v>0.76419999999999999</v>
      </c>
      <c r="F14" s="22">
        <v>0.76729999999999998</v>
      </c>
      <c r="G14" s="22">
        <v>0.77039999999999997</v>
      </c>
      <c r="H14" s="22">
        <v>0.77339999999999998</v>
      </c>
      <c r="I14" s="22">
        <v>0.77639999999999998</v>
      </c>
      <c r="J14" s="22">
        <v>0.77939999999999998</v>
      </c>
      <c r="K14" s="35">
        <v>0.7823</v>
      </c>
      <c r="L14" s="22">
        <v>0.78520000000000001</v>
      </c>
    </row>
    <row r="15" spans="2:12" ht="12" x14ac:dyDescent="0.25">
      <c r="B15" s="21">
        <v>0.8</v>
      </c>
      <c r="C15" s="22">
        <v>0.78810000000000002</v>
      </c>
      <c r="D15" s="22">
        <v>0.79100000000000004</v>
      </c>
      <c r="E15" s="22">
        <v>0.79390000000000005</v>
      </c>
      <c r="F15" s="22">
        <v>0.79669999999999996</v>
      </c>
      <c r="G15" s="22">
        <v>0.79949999999999999</v>
      </c>
      <c r="H15" s="22">
        <v>0.80230000000000001</v>
      </c>
      <c r="I15" s="22">
        <v>0.80510000000000004</v>
      </c>
      <c r="J15" s="22">
        <v>0.80779999999999996</v>
      </c>
      <c r="K15" s="35">
        <v>0.81059999999999999</v>
      </c>
      <c r="L15" s="22">
        <v>0.81330000000000002</v>
      </c>
    </row>
    <row r="16" spans="2:12" ht="12" x14ac:dyDescent="0.25">
      <c r="B16" s="21">
        <v>0.9</v>
      </c>
      <c r="C16" s="22">
        <v>0.81589999999999996</v>
      </c>
      <c r="D16" s="22">
        <v>0.81859999999999999</v>
      </c>
      <c r="E16" s="22">
        <v>0.82120000000000004</v>
      </c>
      <c r="F16" s="22">
        <v>0.82379999999999998</v>
      </c>
      <c r="G16" s="22">
        <v>0.82640000000000002</v>
      </c>
      <c r="H16" s="22">
        <v>0.82889999999999997</v>
      </c>
      <c r="I16" s="22">
        <v>0.83150000000000002</v>
      </c>
      <c r="J16" s="22">
        <v>0.83399999999999996</v>
      </c>
      <c r="K16" s="35">
        <v>0.83650000000000002</v>
      </c>
      <c r="L16" s="22">
        <v>0.83889999999999998</v>
      </c>
    </row>
    <row r="17" spans="2:12" ht="12" x14ac:dyDescent="0.25">
      <c r="B17" s="21">
        <v>1</v>
      </c>
      <c r="C17" s="22">
        <v>0.84130000000000005</v>
      </c>
      <c r="D17" s="22">
        <v>0.84379999999999999</v>
      </c>
      <c r="E17" s="22">
        <v>0.84609999999999996</v>
      </c>
      <c r="F17" s="22">
        <v>0.84850000000000003</v>
      </c>
      <c r="G17" s="22">
        <v>0.8508</v>
      </c>
      <c r="H17" s="22">
        <v>0.85309999999999997</v>
      </c>
      <c r="I17" s="22">
        <v>0.85540000000000005</v>
      </c>
      <c r="J17" s="22">
        <v>0.85770000000000002</v>
      </c>
      <c r="K17" s="35">
        <v>0.8599</v>
      </c>
      <c r="L17" s="22">
        <v>0.86209999999999998</v>
      </c>
    </row>
    <row r="18" spans="2:12" ht="12" x14ac:dyDescent="0.25">
      <c r="B18" s="21">
        <v>1.1000000000000001</v>
      </c>
      <c r="C18" s="22">
        <v>0.86429999999999996</v>
      </c>
      <c r="D18" s="22">
        <v>0.86650000000000005</v>
      </c>
      <c r="E18" s="22">
        <v>0.86860000000000004</v>
      </c>
      <c r="F18" s="22">
        <v>0.87080000000000002</v>
      </c>
      <c r="G18" s="22">
        <v>0.87290000000000001</v>
      </c>
      <c r="H18" s="22">
        <v>0.87490000000000001</v>
      </c>
      <c r="I18" s="22">
        <v>0.877</v>
      </c>
      <c r="J18" s="22">
        <v>0.879</v>
      </c>
      <c r="K18" s="35">
        <v>0.88100000000000001</v>
      </c>
      <c r="L18" s="22">
        <v>0.88300000000000001</v>
      </c>
    </row>
    <row r="19" spans="2:12" ht="12" x14ac:dyDescent="0.25">
      <c r="B19" s="21">
        <v>1.2</v>
      </c>
      <c r="C19" s="22">
        <v>0.88490000000000002</v>
      </c>
      <c r="D19" s="22">
        <v>0.88690000000000002</v>
      </c>
      <c r="E19" s="22">
        <v>0.88880000000000003</v>
      </c>
      <c r="F19" s="22">
        <v>0.89070000000000005</v>
      </c>
      <c r="G19" s="22">
        <v>0.89249999999999996</v>
      </c>
      <c r="H19" s="22">
        <v>0.89439999999999997</v>
      </c>
      <c r="I19" s="22">
        <v>0.8962</v>
      </c>
      <c r="J19" s="22">
        <v>0.89800000000000002</v>
      </c>
      <c r="K19" s="35">
        <v>0.89970000000000006</v>
      </c>
      <c r="L19" s="22">
        <v>0.90149999999999997</v>
      </c>
    </row>
    <row r="20" spans="2:12" ht="12" x14ac:dyDescent="0.25">
      <c r="B20" s="21">
        <v>1.3</v>
      </c>
      <c r="C20" s="22">
        <v>0.9032</v>
      </c>
      <c r="D20" s="22">
        <v>0.90490000000000004</v>
      </c>
      <c r="E20" s="22">
        <v>0.90659999999999996</v>
      </c>
      <c r="F20" s="22">
        <v>0.90820000000000001</v>
      </c>
      <c r="G20" s="22">
        <v>0.90990000000000004</v>
      </c>
      <c r="H20" s="22">
        <v>0.91149999999999998</v>
      </c>
      <c r="I20" s="22">
        <v>0.91310000000000002</v>
      </c>
      <c r="J20" s="22">
        <v>0.91469999999999996</v>
      </c>
      <c r="K20" s="35">
        <v>0.91620000000000001</v>
      </c>
      <c r="L20" s="22">
        <v>0.91769999999999996</v>
      </c>
    </row>
    <row r="21" spans="2:12" ht="12" x14ac:dyDescent="0.25">
      <c r="B21" s="21">
        <v>1.4</v>
      </c>
      <c r="C21" s="22">
        <v>0.91920000000000002</v>
      </c>
      <c r="D21" s="22">
        <v>0.92069999999999996</v>
      </c>
      <c r="E21" s="22">
        <v>0.92220000000000002</v>
      </c>
      <c r="F21" s="22">
        <v>0.92359999999999998</v>
      </c>
      <c r="G21" s="22">
        <v>0.92510000000000003</v>
      </c>
      <c r="H21" s="22">
        <v>0.92649999999999999</v>
      </c>
      <c r="I21" s="22">
        <v>0.92789999999999995</v>
      </c>
      <c r="J21" s="22">
        <v>0.92920000000000003</v>
      </c>
      <c r="K21" s="35">
        <v>0.93059999999999998</v>
      </c>
      <c r="L21" s="22">
        <v>0.93189999999999995</v>
      </c>
    </row>
    <row r="22" spans="2:12" ht="12" x14ac:dyDescent="0.25">
      <c r="B22" s="21">
        <v>1.5</v>
      </c>
      <c r="C22" s="22">
        <v>0.93320000000000003</v>
      </c>
      <c r="D22" s="22">
        <v>0.9345</v>
      </c>
      <c r="E22" s="22">
        <v>0.93569999999999998</v>
      </c>
      <c r="F22" s="22">
        <v>0.93700000000000006</v>
      </c>
      <c r="G22" s="22">
        <v>0.93820000000000003</v>
      </c>
      <c r="H22" s="22">
        <v>0.93940000000000001</v>
      </c>
      <c r="I22" s="22">
        <v>0.94059999999999999</v>
      </c>
      <c r="J22" s="22">
        <v>0.94179999999999997</v>
      </c>
      <c r="K22" s="35">
        <v>0.94289999999999996</v>
      </c>
      <c r="L22" s="22">
        <v>0.94410000000000005</v>
      </c>
    </row>
    <row r="23" spans="2:12" ht="12" x14ac:dyDescent="0.25">
      <c r="B23" s="21">
        <v>1.6</v>
      </c>
      <c r="C23" s="22">
        <v>0.94520000000000004</v>
      </c>
      <c r="D23" s="22">
        <v>0.94630000000000003</v>
      </c>
      <c r="E23" s="22">
        <v>0.94740000000000002</v>
      </c>
      <c r="F23" s="22">
        <v>0.94840000000000002</v>
      </c>
      <c r="G23" s="22">
        <v>0.94950000000000001</v>
      </c>
      <c r="H23" s="22">
        <v>0.95050000000000001</v>
      </c>
      <c r="I23" s="22">
        <v>0.95150000000000001</v>
      </c>
      <c r="J23" s="22">
        <v>0.95250000000000001</v>
      </c>
      <c r="K23" s="35">
        <v>0.95350000000000001</v>
      </c>
      <c r="L23" s="22">
        <v>0.95450000000000002</v>
      </c>
    </row>
    <row r="24" spans="2:12" ht="12" x14ac:dyDescent="0.25">
      <c r="B24" s="21">
        <v>1.7</v>
      </c>
      <c r="C24" s="22">
        <v>0.95540000000000003</v>
      </c>
      <c r="D24" s="22">
        <v>0.95640000000000003</v>
      </c>
      <c r="E24" s="22">
        <v>0.95730000000000004</v>
      </c>
      <c r="F24" s="22">
        <v>0.95820000000000005</v>
      </c>
      <c r="G24" s="22">
        <v>0.95909999999999995</v>
      </c>
      <c r="H24" s="22">
        <v>0.95989999999999998</v>
      </c>
      <c r="I24" s="22">
        <v>0.96079999999999999</v>
      </c>
      <c r="J24" s="22">
        <v>0.96160000000000001</v>
      </c>
      <c r="K24" s="35">
        <v>0.96250000000000002</v>
      </c>
      <c r="L24" s="22">
        <v>0.96330000000000005</v>
      </c>
    </row>
    <row r="25" spans="2:12" ht="12" x14ac:dyDescent="0.25">
      <c r="B25" s="21">
        <v>1.8</v>
      </c>
      <c r="C25" s="22">
        <v>0.96409999999999996</v>
      </c>
      <c r="D25" s="22">
        <v>0.96489999999999998</v>
      </c>
      <c r="E25" s="22">
        <v>0.96560000000000001</v>
      </c>
      <c r="F25" s="22">
        <v>0.96640000000000004</v>
      </c>
      <c r="G25" s="22">
        <v>0.96709999999999996</v>
      </c>
      <c r="H25" s="22">
        <v>0.96779999999999999</v>
      </c>
      <c r="I25" s="22">
        <v>0.96860000000000002</v>
      </c>
      <c r="J25" s="22">
        <v>0.96930000000000005</v>
      </c>
      <c r="K25" s="35">
        <v>0.96989999999999998</v>
      </c>
      <c r="L25" s="22">
        <v>0.97060000000000002</v>
      </c>
    </row>
    <row r="26" spans="2:12" ht="12" x14ac:dyDescent="0.25">
      <c r="B26" s="21">
        <v>1.9</v>
      </c>
      <c r="C26" s="22">
        <v>0.97130000000000005</v>
      </c>
      <c r="D26" s="22">
        <v>0.97189999999999999</v>
      </c>
      <c r="E26" s="22">
        <v>0.97260000000000002</v>
      </c>
      <c r="F26" s="22">
        <v>0.97319999999999995</v>
      </c>
      <c r="G26" s="22">
        <v>0.9738</v>
      </c>
      <c r="H26" s="22">
        <v>0.97440000000000004</v>
      </c>
      <c r="I26" s="22">
        <v>0.97499999999999998</v>
      </c>
      <c r="J26" s="22">
        <v>0.97560000000000002</v>
      </c>
      <c r="K26" s="35">
        <v>0.97609999999999997</v>
      </c>
      <c r="L26" s="22">
        <v>0.97670000000000001</v>
      </c>
    </row>
    <row r="27" spans="2:12" ht="12" x14ac:dyDescent="0.25">
      <c r="B27" s="21">
        <v>2</v>
      </c>
      <c r="C27" s="22">
        <v>0.97719999999999996</v>
      </c>
      <c r="D27" s="22">
        <v>0.9778</v>
      </c>
      <c r="E27" s="22">
        <v>0.97829999999999995</v>
      </c>
      <c r="F27" s="22">
        <v>0.9788</v>
      </c>
      <c r="G27" s="22">
        <v>0.97929999999999995</v>
      </c>
      <c r="H27" s="22">
        <v>0.9798</v>
      </c>
      <c r="I27" s="22">
        <v>0.98029999999999995</v>
      </c>
      <c r="J27" s="22">
        <v>0.98080000000000001</v>
      </c>
      <c r="K27" s="35">
        <v>0.98119999999999996</v>
      </c>
      <c r="L27" s="22">
        <v>0.98170000000000002</v>
      </c>
    </row>
    <row r="28" spans="2:12" ht="12" x14ac:dyDescent="0.25">
      <c r="B28" s="21">
        <v>2.1</v>
      </c>
      <c r="C28" s="22">
        <v>0.98209999999999997</v>
      </c>
      <c r="D28" s="22">
        <v>0.98260000000000003</v>
      </c>
      <c r="E28" s="22">
        <v>0.98299999999999998</v>
      </c>
      <c r="F28" s="22">
        <v>0.98340000000000005</v>
      </c>
      <c r="G28" s="22">
        <v>0.98380000000000001</v>
      </c>
      <c r="H28" s="22">
        <v>0.98419999999999996</v>
      </c>
      <c r="I28" s="22">
        <v>0.98460000000000003</v>
      </c>
      <c r="J28" s="22">
        <v>0.98499999999999999</v>
      </c>
      <c r="K28" s="35">
        <v>0.98540000000000005</v>
      </c>
      <c r="L28" s="22">
        <v>0.98570000000000002</v>
      </c>
    </row>
    <row r="29" spans="2:12" ht="12" x14ac:dyDescent="0.25">
      <c r="B29" s="21">
        <v>2.2000000000000002</v>
      </c>
      <c r="C29" s="22">
        <v>0.98609999999999998</v>
      </c>
      <c r="D29" s="22">
        <v>0.98640000000000005</v>
      </c>
      <c r="E29" s="22">
        <v>0.98680000000000001</v>
      </c>
      <c r="F29" s="22">
        <v>0.98709999999999998</v>
      </c>
      <c r="G29" s="22">
        <v>0.98750000000000004</v>
      </c>
      <c r="H29" s="22">
        <v>0.98780000000000001</v>
      </c>
      <c r="I29" s="22">
        <v>0.98809999999999998</v>
      </c>
      <c r="J29" s="22">
        <v>0.98839999999999995</v>
      </c>
      <c r="K29" s="35">
        <v>0.98870000000000002</v>
      </c>
      <c r="L29" s="22">
        <v>0.98899999999999999</v>
      </c>
    </row>
    <row r="30" spans="2:12" ht="12" x14ac:dyDescent="0.25">
      <c r="B30" s="21">
        <v>2.2999999999999998</v>
      </c>
      <c r="C30" s="22">
        <v>0.98929999999999996</v>
      </c>
      <c r="D30" s="22">
        <v>0.98960000000000004</v>
      </c>
      <c r="E30" s="22">
        <v>0.98980000000000001</v>
      </c>
      <c r="F30" s="22">
        <v>0.99009999999999998</v>
      </c>
      <c r="G30" s="22">
        <v>0.99039999999999995</v>
      </c>
      <c r="H30" s="22">
        <v>0.99060000000000004</v>
      </c>
      <c r="I30" s="22">
        <v>0.9909</v>
      </c>
      <c r="J30" s="22">
        <v>0.99109999999999998</v>
      </c>
      <c r="K30" s="35">
        <v>0.99129999999999996</v>
      </c>
      <c r="L30" s="22">
        <v>0.99160000000000004</v>
      </c>
    </row>
    <row r="31" spans="2:12" ht="12" x14ac:dyDescent="0.25">
      <c r="B31" s="21">
        <v>2.4</v>
      </c>
      <c r="C31" s="22">
        <v>0.99180000000000001</v>
      </c>
      <c r="D31" s="22">
        <v>0.99199999999999999</v>
      </c>
      <c r="E31" s="22">
        <v>0.99219999999999997</v>
      </c>
      <c r="F31" s="22">
        <v>0.99250000000000005</v>
      </c>
      <c r="G31" s="22">
        <v>0.99270000000000003</v>
      </c>
      <c r="H31" s="22">
        <v>0.9929</v>
      </c>
      <c r="I31" s="22">
        <v>0.99309999999999998</v>
      </c>
      <c r="J31" s="22">
        <v>0.99319999999999997</v>
      </c>
      <c r="K31" s="35">
        <v>0.99339999999999995</v>
      </c>
      <c r="L31" s="22">
        <v>0.99360000000000004</v>
      </c>
    </row>
    <row r="32" spans="2:12" ht="12" x14ac:dyDescent="0.25">
      <c r="B32" s="34">
        <v>2.5</v>
      </c>
      <c r="C32" s="35">
        <v>0.99380000000000002</v>
      </c>
      <c r="D32" s="35">
        <v>0.99399999999999999</v>
      </c>
      <c r="E32" s="35">
        <v>0.99409999999999998</v>
      </c>
      <c r="F32" s="35">
        <v>0.99429999999999996</v>
      </c>
      <c r="G32" s="35">
        <v>0.99450000000000005</v>
      </c>
      <c r="H32" s="35">
        <v>0.99460000000000004</v>
      </c>
      <c r="I32" s="35">
        <v>0.99480000000000002</v>
      </c>
      <c r="J32" s="35">
        <v>0.99490000000000001</v>
      </c>
      <c r="K32" s="35">
        <v>0.99509999999999998</v>
      </c>
      <c r="L32" s="35">
        <v>0.99519999999999997</v>
      </c>
    </row>
    <row r="33" spans="2:12" ht="12" x14ac:dyDescent="0.25">
      <c r="B33" s="21">
        <v>2.6</v>
      </c>
      <c r="C33" s="22">
        <v>0.99529999999999996</v>
      </c>
      <c r="D33" s="22">
        <v>0.99550000000000005</v>
      </c>
      <c r="E33" s="22">
        <v>0.99560000000000004</v>
      </c>
      <c r="F33" s="22">
        <v>0.99570000000000003</v>
      </c>
      <c r="G33" s="22">
        <v>0.99590000000000001</v>
      </c>
      <c r="H33" s="22">
        <v>0.996</v>
      </c>
      <c r="I33" s="22">
        <v>0.99609999999999999</v>
      </c>
      <c r="J33" s="22">
        <v>0.99619999999999997</v>
      </c>
      <c r="K33" s="35">
        <v>0.99629999999999996</v>
      </c>
      <c r="L33" s="22">
        <v>0.99639999999999995</v>
      </c>
    </row>
    <row r="34" spans="2:12" ht="12" x14ac:dyDescent="0.25">
      <c r="B34" s="21">
        <v>2.7</v>
      </c>
      <c r="C34" s="22">
        <v>0.99650000000000005</v>
      </c>
      <c r="D34" s="22">
        <v>0.99660000000000004</v>
      </c>
      <c r="E34" s="22">
        <v>0.99670000000000003</v>
      </c>
      <c r="F34" s="22">
        <v>0.99680000000000002</v>
      </c>
      <c r="G34" s="22">
        <v>0.99690000000000001</v>
      </c>
      <c r="H34" s="22">
        <v>0.997</v>
      </c>
      <c r="I34" s="22">
        <v>0.99709999999999999</v>
      </c>
      <c r="J34" s="22">
        <v>0.99719999999999998</v>
      </c>
      <c r="K34" s="35">
        <v>0.99729999999999996</v>
      </c>
      <c r="L34" s="22">
        <v>0.99739999999999995</v>
      </c>
    </row>
    <row r="35" spans="2:12" ht="12" x14ac:dyDescent="0.25">
      <c r="B35" s="21">
        <v>2.8</v>
      </c>
      <c r="C35" s="22">
        <v>0.99739999999999995</v>
      </c>
      <c r="D35" s="22">
        <v>0.99750000000000005</v>
      </c>
      <c r="E35" s="22">
        <v>0.99760000000000004</v>
      </c>
      <c r="F35" s="22">
        <v>0.99770000000000003</v>
      </c>
      <c r="G35" s="22">
        <v>0.99770000000000003</v>
      </c>
      <c r="H35" s="22">
        <v>0.99780000000000002</v>
      </c>
      <c r="I35" s="22">
        <v>0.99790000000000001</v>
      </c>
      <c r="J35" s="22">
        <v>0.99790000000000001</v>
      </c>
      <c r="K35" s="35">
        <v>0.998</v>
      </c>
      <c r="L35" s="22">
        <v>0.99809999999999999</v>
      </c>
    </row>
    <row r="36" spans="2:12" ht="12" x14ac:dyDescent="0.25">
      <c r="B36" s="21">
        <v>2.9</v>
      </c>
      <c r="C36" s="22">
        <v>0.99809999999999999</v>
      </c>
      <c r="D36" s="22">
        <v>0.99819999999999998</v>
      </c>
      <c r="E36" s="22">
        <v>0.99819999999999998</v>
      </c>
      <c r="F36" s="22">
        <v>0.99829999999999997</v>
      </c>
      <c r="G36" s="22">
        <v>0.99839999999999995</v>
      </c>
      <c r="H36" s="22">
        <v>0.99839999999999995</v>
      </c>
      <c r="I36" s="22">
        <v>0.99850000000000005</v>
      </c>
      <c r="J36" s="22">
        <v>0.99850000000000005</v>
      </c>
      <c r="K36" s="35">
        <v>0.99860000000000004</v>
      </c>
      <c r="L36" s="22">
        <v>0.99860000000000004</v>
      </c>
    </row>
    <row r="37" spans="2:12" ht="12" x14ac:dyDescent="0.25">
      <c r="B37" s="23">
        <v>3</v>
      </c>
      <c r="C37" s="24">
        <v>0.99870000000000003</v>
      </c>
      <c r="D37" s="24">
        <v>0.99870000000000003</v>
      </c>
      <c r="E37" s="24">
        <v>0.99870000000000003</v>
      </c>
      <c r="F37" s="24">
        <v>0.99880000000000002</v>
      </c>
      <c r="G37" s="24">
        <v>0.99880000000000002</v>
      </c>
      <c r="H37" s="24">
        <v>0.99890000000000001</v>
      </c>
      <c r="I37" s="24">
        <v>0.99890000000000001</v>
      </c>
      <c r="J37" s="24">
        <v>0.99890000000000001</v>
      </c>
      <c r="K37" s="37">
        <v>0.999</v>
      </c>
      <c r="L37" s="24">
        <v>0.999</v>
      </c>
    </row>
    <row r="38" spans="2:12" ht="12" x14ac:dyDescent="0.25">
      <c r="B38" s="25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2:12" ht="12" x14ac:dyDescent="0.25">
      <c r="B39" s="25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2:12" ht="12" x14ac:dyDescent="0.25">
      <c r="B40" s="25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2" x14ac:dyDescent="0.25">
      <c r="B41" s="25"/>
      <c r="C41" s="22"/>
      <c r="D41" s="22"/>
      <c r="E41" s="22"/>
      <c r="F41" s="22"/>
      <c r="G41" s="22"/>
      <c r="H41" s="22"/>
      <c r="I41" s="22"/>
      <c r="J41" s="22"/>
      <c r="K41" s="22"/>
      <c r="L41" s="2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27"/>
  <sheetViews>
    <sheetView zoomScale="110" zoomScaleNormal="110" workbookViewId="0">
      <selection activeCell="J11" sqref="J11"/>
    </sheetView>
  </sheetViews>
  <sheetFormatPr defaultRowHeight="11.4" x14ac:dyDescent="0.2"/>
  <cols>
    <col min="1" max="1" width="2" style="2" customWidth="1"/>
    <col min="2" max="2" width="14.88671875" style="2" customWidth="1"/>
    <col min="3" max="3" width="10.77734375" style="2" bestFit="1" customWidth="1"/>
    <col min="4" max="4" width="11.33203125" style="2" bestFit="1" customWidth="1"/>
    <col min="5" max="5" width="11" style="2" bestFit="1" customWidth="1"/>
    <col min="6" max="6" width="8.88671875" style="2"/>
    <col min="7" max="7" width="18" style="2" bestFit="1" customWidth="1"/>
    <col min="8" max="8" width="5.6640625" style="2" bestFit="1" customWidth="1"/>
    <col min="9" max="9" width="6.44140625" style="2" bestFit="1" customWidth="1"/>
    <col min="10" max="16384" width="8.88671875" style="2"/>
  </cols>
  <sheetData>
    <row r="1" spans="2:14" ht="15.6" x14ac:dyDescent="0.3">
      <c r="B1" s="4" t="s">
        <v>7</v>
      </c>
    </row>
    <row r="2" spans="2:14" ht="12" x14ac:dyDescent="0.25">
      <c r="B2" s="1" t="s">
        <v>2</v>
      </c>
    </row>
    <row r="4" spans="2:14" ht="12" x14ac:dyDescent="0.25">
      <c r="B4" s="1" t="s">
        <v>9</v>
      </c>
      <c r="C4" s="2" t="s">
        <v>10</v>
      </c>
      <c r="M4" s="33"/>
      <c r="N4" s="33"/>
    </row>
    <row r="5" spans="2:14" ht="12" x14ac:dyDescent="0.25">
      <c r="B5" s="1" t="s">
        <v>11</v>
      </c>
      <c r="C5" s="2" t="s">
        <v>12</v>
      </c>
      <c r="M5" s="11"/>
      <c r="N5" s="11"/>
    </row>
    <row r="6" spans="2:14" ht="12" x14ac:dyDescent="0.25">
      <c r="B6" s="1" t="s">
        <v>13</v>
      </c>
      <c r="C6" s="2" t="s">
        <v>14</v>
      </c>
      <c r="M6" s="11"/>
      <c r="N6" s="11"/>
    </row>
    <row r="7" spans="2:14" ht="12" x14ac:dyDescent="0.25">
      <c r="B7" s="1"/>
      <c r="M7" s="12"/>
      <c r="N7" s="12"/>
    </row>
    <row r="8" spans="2:14" x14ac:dyDescent="0.2">
      <c r="M8" s="3"/>
      <c r="N8" s="3"/>
    </row>
    <row r="9" spans="2:14" ht="12.6" thickBot="1" x14ac:dyDescent="0.3">
      <c r="B9" s="6"/>
      <c r="C9" s="6" t="s">
        <v>0</v>
      </c>
      <c r="D9" s="6" t="s">
        <v>1</v>
      </c>
      <c r="E9" s="6" t="s">
        <v>5</v>
      </c>
      <c r="G9" s="13"/>
      <c r="H9" s="14"/>
      <c r="I9" s="14"/>
      <c r="J9" s="14"/>
    </row>
    <row r="10" spans="2:14" ht="12" x14ac:dyDescent="0.25">
      <c r="B10" s="1" t="s">
        <v>3</v>
      </c>
      <c r="C10" s="2">
        <v>100</v>
      </c>
      <c r="D10" s="2">
        <v>70</v>
      </c>
      <c r="E10" s="5" t="s">
        <v>6</v>
      </c>
      <c r="G10" s="14"/>
      <c r="H10" s="14"/>
      <c r="I10" s="14"/>
      <c r="J10" s="14"/>
    </row>
    <row r="11" spans="2:14" ht="12" x14ac:dyDescent="0.25">
      <c r="B11" s="1" t="s">
        <v>8</v>
      </c>
      <c r="C11" s="2">
        <v>58</v>
      </c>
      <c r="D11" s="2">
        <v>65</v>
      </c>
      <c r="E11" s="7">
        <f>C11-D11</f>
        <v>-7</v>
      </c>
      <c r="G11" s="15"/>
      <c r="H11" s="15"/>
      <c r="I11" s="15"/>
      <c r="J11" s="14"/>
    </row>
    <row r="12" spans="2:14" ht="12" x14ac:dyDescent="0.25">
      <c r="B12" s="8" t="s">
        <v>4</v>
      </c>
      <c r="C12" s="9">
        <v>10</v>
      </c>
      <c r="D12" s="9">
        <v>5</v>
      </c>
      <c r="E12" s="10">
        <f>SQRT((C12*C12/C10+D12*D12/D10))</f>
        <v>1.1649647450214351</v>
      </c>
      <c r="G12" s="16"/>
      <c r="H12" s="17"/>
      <c r="I12" s="17"/>
      <c r="J12" s="14"/>
    </row>
    <row r="13" spans="2:14" x14ac:dyDescent="0.2">
      <c r="G13" s="14"/>
      <c r="H13" s="14"/>
      <c r="I13" s="14"/>
      <c r="J13" s="14"/>
    </row>
    <row r="14" spans="2:14" ht="12" x14ac:dyDescent="0.25">
      <c r="B14" s="1"/>
    </row>
    <row r="15" spans="2:14" ht="12" x14ac:dyDescent="0.25">
      <c r="B15" s="13"/>
      <c r="C15" s="14"/>
    </row>
    <row r="16" spans="2:14" ht="12" x14ac:dyDescent="0.25">
      <c r="B16" s="1" t="s">
        <v>19</v>
      </c>
      <c r="C16" s="2">
        <f>1-B17</f>
        <v>0.995</v>
      </c>
      <c r="D16" s="2" t="s">
        <v>20</v>
      </c>
    </row>
    <row r="17" spans="2:9" ht="12" x14ac:dyDescent="0.25">
      <c r="B17" s="1">
        <f>(1-0.99)/2</f>
        <v>5.0000000000000044E-3</v>
      </c>
      <c r="C17" s="2">
        <v>2.58</v>
      </c>
    </row>
    <row r="21" spans="2:9" ht="12" x14ac:dyDescent="0.25">
      <c r="B21" s="1" t="s">
        <v>21</v>
      </c>
    </row>
    <row r="22" spans="2:9" ht="12" x14ac:dyDescent="0.25">
      <c r="G22" s="1" t="s">
        <v>25</v>
      </c>
    </row>
    <row r="23" spans="2:9" x14ac:dyDescent="0.2">
      <c r="B23" s="26" t="s">
        <v>22</v>
      </c>
      <c r="C23" s="27" t="s">
        <v>23</v>
      </c>
      <c r="D23" s="28" t="s">
        <v>24</v>
      </c>
    </row>
    <row r="24" spans="2:9" ht="12.6" thickBot="1" x14ac:dyDescent="0.3">
      <c r="B24" s="29">
        <v>0.99</v>
      </c>
      <c r="C24" s="30">
        <f>E11-E12*$C$17</f>
        <v>-10.005609042155303</v>
      </c>
      <c r="D24" s="31">
        <f>E11+E12*$C$17</f>
        <v>-3.9943909578446974</v>
      </c>
      <c r="G24" s="6" t="s">
        <v>22</v>
      </c>
      <c r="H24" s="6" t="s">
        <v>23</v>
      </c>
      <c r="I24" s="6" t="s">
        <v>24</v>
      </c>
    </row>
    <row r="25" spans="2:9" ht="12" x14ac:dyDescent="0.25">
      <c r="G25" s="32">
        <v>0.95</v>
      </c>
      <c r="H25" s="7">
        <v>-9.2833309002420137</v>
      </c>
      <c r="I25" s="7">
        <v>-4.7166690997579872</v>
      </c>
    </row>
    <row r="27" spans="2:9" x14ac:dyDescent="0.2">
      <c r="B27" s="2" t="s">
        <v>26</v>
      </c>
    </row>
  </sheetData>
  <mergeCells count="1">
    <mergeCell ref="M4:N4"/>
  </mergeCells>
  <pageMargins left="0.7" right="0.7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z-table</vt:lpstr>
      <vt:lpstr>CI, indep, var 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2026-07-22T13:25:18Z</dcterms:modified>
</cp:coreProperties>
</file>